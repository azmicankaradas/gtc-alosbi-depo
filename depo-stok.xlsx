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AEC0C7E-D3B7-45EB-8FAB-4DE57CD23D90}" xr6:coauthVersionLast="47" xr6:coauthVersionMax="47" xr10:uidLastSave="{00000000-0000-0000-0000-000000000000}"/>
  <bookViews>
    <workbookView xWindow="-108" yWindow="-108" windowWidth="23256" windowHeight="12456" xr2:uid="{EF5D117A-C7B8-493A-A8DE-C324BA31215E}"/>
  </bookViews>
  <sheets>
    <sheet name="ZEMİN K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4" i="1" l="1"/>
  <c r="U123" i="1"/>
  <c r="L32" i="1"/>
  <c r="I32" i="1"/>
  <c r="F31" i="1"/>
  <c r="I31" i="1"/>
  <c r="I99" i="1"/>
  <c r="F108" i="1"/>
  <c r="F100" i="1"/>
  <c r="F87" i="1"/>
  <c r="F83" i="1"/>
  <c r="F78" i="1"/>
  <c r="F89" i="1"/>
  <c r="F76" i="1"/>
  <c r="F74" i="1"/>
  <c r="F75" i="1"/>
  <c r="F73" i="1"/>
  <c r="F80" i="1"/>
  <c r="I26" i="1"/>
  <c r="I27" i="1"/>
</calcChain>
</file>

<file path=xl/sharedStrings.xml><?xml version="1.0" encoding="utf-8"?>
<sst xmlns="http://schemas.openxmlformats.org/spreadsheetml/2006/main" count="505" uniqueCount="241">
  <si>
    <t>R1</t>
  </si>
  <si>
    <t>A</t>
  </si>
  <si>
    <t>B</t>
  </si>
  <si>
    <t>C</t>
  </si>
  <si>
    <t>D</t>
  </si>
  <si>
    <t>E</t>
  </si>
  <si>
    <t>ADET</t>
  </si>
  <si>
    <t>KOD</t>
  </si>
  <si>
    <t>MALZEME</t>
  </si>
  <si>
    <t>SFZ00534</t>
  </si>
  <si>
    <t>GTC ALEV ALMAZ TULUM YESIL S</t>
  </si>
  <si>
    <t>SFZ00532</t>
  </si>
  <si>
    <t>GTC ALEV ALMAZ TULUM YESIL 2XS</t>
  </si>
  <si>
    <t>SFZ00535</t>
  </si>
  <si>
    <t>GTC ALEV ALMAZ TULUM YESIL M</t>
  </si>
  <si>
    <t>SFZ00538</t>
  </si>
  <si>
    <t>GTC ALEV ALMAZ TULUM YESIL 2XL</t>
  </si>
  <si>
    <t>SFZ00539</t>
  </si>
  <si>
    <t>GTC ALEV ALMAZ TULUM YESIL 3XL</t>
  </si>
  <si>
    <t>SFZ00536</t>
  </si>
  <si>
    <t>GTC ALEV ALMAZ TULUM YESIL L</t>
  </si>
  <si>
    <t>SFZ00537</t>
  </si>
  <si>
    <t>GTC ALEV ALMAZ TULUM YESIL XL</t>
  </si>
  <si>
    <t>SFZ01482</t>
  </si>
  <si>
    <t>GTC ALEV ALMAZ TULUM TURUNCU 2XS</t>
  </si>
  <si>
    <t>SFZ01483</t>
  </si>
  <si>
    <t>GTC ALEV ALMAZ TULUM TURUNCU XS</t>
  </si>
  <si>
    <t>SFZ01487</t>
  </si>
  <si>
    <t>GTC ALEV ALMAZ TULUM TURUNCU XL</t>
  </si>
  <si>
    <t>SFZ01484</t>
  </si>
  <si>
    <t>GTC ALEV ALMAZ TULUM TURUNCU S</t>
  </si>
  <si>
    <t>SFZ01488</t>
  </si>
  <si>
    <t>GTC ALEV ALMAZ TULUM TURUNCU 2XL</t>
  </si>
  <si>
    <t>SFZ01489</t>
  </si>
  <si>
    <t>GTC ALEV ALMAZ TULUM TURUNCU 3XL</t>
  </si>
  <si>
    <t>SFZ01808</t>
  </si>
  <si>
    <t>GTC ALEV ALMAZ TULUM TURUNCU 4XL</t>
  </si>
  <si>
    <t>GTC ALEV ALMAZ TULUM YESIL XS</t>
  </si>
  <si>
    <t>SFZ00533</t>
  </si>
  <si>
    <t>GTC ALEV ALMAZ TULUM TURUNCU M</t>
  </si>
  <si>
    <t>SFZ01485</t>
  </si>
  <si>
    <t>GTC ALEV ALMAZ TULUM TURUNCU L</t>
  </si>
  <si>
    <t>SFZ01486</t>
  </si>
  <si>
    <t>R2</t>
  </si>
  <si>
    <t>SFZ00553</t>
  </si>
  <si>
    <t>ISM NOMEX ISW0402-PT TULUM YESIL 2XS</t>
  </si>
  <si>
    <t>SFZ00554</t>
  </si>
  <si>
    <t>ISM NOMEX ISW0402-PT TULUM YESIL XS</t>
  </si>
  <si>
    <t>SFZ00557</t>
  </si>
  <si>
    <t>ISM NOMEX ISW0402-PT TULUM YESIL L</t>
  </si>
  <si>
    <t>SFZ00555</t>
  </si>
  <si>
    <t>ISM NOMEX ISW0402-PT TULUM YESIL S</t>
  </si>
  <si>
    <t>SFZ00556</t>
  </si>
  <si>
    <t>ISM NOMEX ISW0402-PT TULUM YESIL M</t>
  </si>
  <si>
    <t>SFZ00558</t>
  </si>
  <si>
    <t>ISM NOMEX ISW0402-PT TULUM YESIL XL</t>
  </si>
  <si>
    <t>ISM NOMEX ISW0403-PT TULUM TURUNCU 2XS</t>
  </si>
  <si>
    <t>SFZ00694</t>
  </si>
  <si>
    <t>ISM NOMEX ISW0403-PT TULUM TURUNCU XS</t>
  </si>
  <si>
    <t>SFZ00695</t>
  </si>
  <si>
    <t>SFZ00696</t>
  </si>
  <si>
    <t>ISM NOMEX ISW0403-PT TULUM TURUNCU S</t>
  </si>
  <si>
    <t>ISM NOMEX ISW0403-PT TULUM TURUNCU 2XL</t>
  </si>
  <si>
    <t>SFZ00700</t>
  </si>
  <si>
    <t>ISM NOMEX ISW0403-PT TULUM TURUNCU 3XL</t>
  </si>
  <si>
    <t>SFZ00701</t>
  </si>
  <si>
    <t>SFZ00697</t>
  </si>
  <si>
    <t>ISM NOMEX ISW0403-PT TULUM TURUNCU M</t>
  </si>
  <si>
    <t>SFZ00698</t>
  </si>
  <si>
    <t>ISM NOMEX ISW0403-PT TULUM TURUNCU L</t>
  </si>
  <si>
    <t>ISM NOMEX ISW0403-PT TULUM TURUNCU XL</t>
  </si>
  <si>
    <t>SFZ00699</t>
  </si>
  <si>
    <t>R3</t>
  </si>
  <si>
    <t>SFZ00736</t>
  </si>
  <si>
    <t>GTC 10-02 PSDN ALEV ALMAZ PANTOLON YESIL XS</t>
  </si>
  <si>
    <t>SFZ00735</t>
  </si>
  <si>
    <t>GTC 10-02 PSDN ALEV ALMAZ PANTOLON YESIL 2XS</t>
  </si>
  <si>
    <t>SFZ00727</t>
  </si>
  <si>
    <t>GTC 48-02 PSDN ALEV ALMAZ GOMLEK YESIL XS</t>
  </si>
  <si>
    <t>SFZ00728</t>
  </si>
  <si>
    <t>GTC 48-02 PSDN ALEV ALMAZ GÖMLEK YESIL S</t>
  </si>
  <si>
    <t>SFZ00729</t>
  </si>
  <si>
    <t>GTC 48-02 PSDN ALEV ALMAZ GÖMLEK YESIL M</t>
  </si>
  <si>
    <t>SFZ00730</t>
  </si>
  <si>
    <t>GTC 48-02 PSDN ALEV ALMAZ GÖMLEK YESIL  L</t>
  </si>
  <si>
    <t>SFZ00726</t>
  </si>
  <si>
    <t>GTC 48-02 PSDN ALEV ALMAZ GÖMLEK YESIL 2XS</t>
  </si>
  <si>
    <t>SFZ00731</t>
  </si>
  <si>
    <t>GTC 48-02 PSDN ALEV ALMAZ GÖMLEK YESIL XL</t>
  </si>
  <si>
    <t>SFZ00740</t>
  </si>
  <si>
    <t>GTC 10-02 PSDN ALEV ALMAZ PANTOLON YESIL XL</t>
  </si>
  <si>
    <t>SFZ00741</t>
  </si>
  <si>
    <t>GTC 10-02 PSDN ALEV ALMAZ PANTOLON YESIL 2XL</t>
  </si>
  <si>
    <t>SFZ00732</t>
  </si>
  <si>
    <t>GTC 48-02 PSDN ALEV ALMAZ GÖMLEK YESIL 2XL</t>
  </si>
  <si>
    <t>SFZ00733</t>
  </si>
  <si>
    <t>GTC 48-02 PSDN ALEV ALMAZ GÖMLEK YESIL 3XL</t>
  </si>
  <si>
    <t>SFZ00737</t>
  </si>
  <si>
    <t>GTC 10-02 PSDN ALEV ALMAZ PANTOLON YESIL S</t>
  </si>
  <si>
    <t>SFZ00738</t>
  </si>
  <si>
    <t>GTC 10-02 PSDN ALEV ALMAZ PANTOLON YESIL M</t>
  </si>
  <si>
    <t>SFZ00739</t>
  </si>
  <si>
    <t>GTC  10-02 PSDN ALEV ALMAZ PANTOLON YESIL  L</t>
  </si>
  <si>
    <t>SFZ01585</t>
  </si>
  <si>
    <t>GTC ALEV ALMAZ PANTOLON TURUNCU 2XS</t>
  </si>
  <si>
    <t>SFZ01586</t>
  </si>
  <si>
    <t>GTC ALEV ALMAZ PANTOLON TURUNCU XS</t>
  </si>
  <si>
    <t>SFZ01587</t>
  </si>
  <si>
    <t>GTC ALEV ALMAZ PANTOLON TURUNCU S</t>
  </si>
  <si>
    <t>SFZ01588</t>
  </si>
  <si>
    <t>GTC ALEV ALMAZ PANTOLON TURUNCU M</t>
  </si>
  <si>
    <t>SFZ01589</t>
  </si>
  <si>
    <t>GTC ALEV ALMAZ PANTOLON TURUNCU L</t>
  </si>
  <si>
    <t>SFZ01593</t>
  </si>
  <si>
    <t>GTC ALEV ALMAZ GOMLEK TURUNCU 2XS</t>
  </si>
  <si>
    <t>SFZ01594</t>
  </si>
  <si>
    <t>GTC ALEV ALMAZ GOMLEK TURUNCU XS</t>
  </si>
  <si>
    <t>SFZ01595</t>
  </si>
  <si>
    <t>GTC ALEV ALMAZ GOMLEK TURUNCU S</t>
  </si>
  <si>
    <t>SFZ01596</t>
  </si>
  <si>
    <t>GTC ALEV ALMAZ GOMLEK TURUNCU M</t>
  </si>
  <si>
    <t>SFZ01597</t>
  </si>
  <si>
    <t>GTC ALEV ALMAZ GOMLEK TURUNCU L</t>
  </si>
  <si>
    <t>SFZ01598</t>
  </si>
  <si>
    <t>GTC ALEV ALMAZ GOMLEK TURUNCU XL</t>
  </si>
  <si>
    <t>SFZ01599</t>
  </si>
  <si>
    <t>GTC ALEV ALMAZ GOMLEK TURUNCU 2XL</t>
  </si>
  <si>
    <t>SFZ01591</t>
  </si>
  <si>
    <t>GTC ALEV ALMAZ PANTOLON TURUNCU 2XL</t>
  </si>
  <si>
    <t>SFZ01592</t>
  </si>
  <si>
    <t>GTC ALEV ALMAZ PANTOLON TURUNCU 3XL</t>
  </si>
  <si>
    <t>SFZ01600</t>
  </si>
  <si>
    <t>GTC ALEV ALMAZ GOMLEK TURUNCU 3XL</t>
  </si>
  <si>
    <t>SFZ01494</t>
  </si>
  <si>
    <t>GTC ALEV ALMAZ KABAN TURUNCU L</t>
  </si>
  <si>
    <t>SFZ01492</t>
  </si>
  <si>
    <t>GTC ALEV ALMAZ KABAN TURUNCU S</t>
  </si>
  <si>
    <t>SFZ01495</t>
  </si>
  <si>
    <t>GTC ALEV ALMAZ KABAN TURUNCU XL</t>
  </si>
  <si>
    <t>SFZ01496</t>
  </si>
  <si>
    <t>GTC ALEV ALMAZ KABAN TURUNCU 2XL</t>
  </si>
  <si>
    <t>SFZ01497</t>
  </si>
  <si>
    <t>GTC ALEV ALMAZ KABAN TURUNCU 3XL</t>
  </si>
  <si>
    <t>SFZ01491</t>
  </si>
  <si>
    <t>GTC ALEV ALMAZ KABAN TURUNCU XS</t>
  </si>
  <si>
    <t>SFZ01490</t>
  </si>
  <si>
    <t>GTC ALEV ALMAZ KABAN TURUNCU 2XS</t>
  </si>
  <si>
    <t>SFZ01493</t>
  </si>
  <si>
    <t>GTC ALEV ALMAZ KABAN TURUNCU M</t>
  </si>
  <si>
    <t>R4</t>
  </si>
  <si>
    <t>SFZ00571</t>
  </si>
  <si>
    <t>ISM NOMEX ISS4825 GOMLEK YESIL 2XS</t>
  </si>
  <si>
    <t>SFZ00580</t>
  </si>
  <si>
    <t>ISM NOMEX ISS1003 PANTOLON YESIL 2XS</t>
  </si>
  <si>
    <t>SFZ00584</t>
  </si>
  <si>
    <t>ISM NOMEX ISS1003 PANTOLON YESIL XL</t>
  </si>
  <si>
    <t>SFZ00586</t>
  </si>
  <si>
    <t>ISM NOMEX ISS1003 PANTOLON YESIL 3XL</t>
  </si>
  <si>
    <t>SFZ00574</t>
  </si>
  <si>
    <t>ISM NOMEX ISS4825 GOMLEK YESIL M</t>
  </si>
  <si>
    <t>SFZ00582</t>
  </si>
  <si>
    <t>ISM NOMEX ISS1003 PANTOLON YESIL M</t>
  </si>
  <si>
    <t>SFZ00575</t>
  </si>
  <si>
    <t>ISM NOMEX ISS4825 GOMLEK YESIL L</t>
  </si>
  <si>
    <t>SFZ00583</t>
  </si>
  <si>
    <t>ISM NOMEX ISS1003 PANTOLON YESIL L</t>
  </si>
  <si>
    <t>SFZ00577</t>
  </si>
  <si>
    <t>ISM NOMEX ISS4825 GOMLEK YESIL 2XL</t>
  </si>
  <si>
    <t>SFZ00585</t>
  </si>
  <si>
    <t>ISM NOMEX ISS1003 PANTOLON YESIL 2XL</t>
  </si>
  <si>
    <t>SFZ00578</t>
  </si>
  <si>
    <t>ISM NOMEX ISS4825 GOMLEK YESIL 3XL</t>
  </si>
  <si>
    <t>SFZ00572</t>
  </si>
  <si>
    <t>ISM NOMEX ISS4825 GOMLEK YESIL XS</t>
  </si>
  <si>
    <t>SFZ00581</t>
  </si>
  <si>
    <t>ISM NOMEX ISS1003 PANTOLON YESIL XS</t>
  </si>
  <si>
    <t>SFZ00573</t>
  </si>
  <si>
    <t>ISM NOMEX ISS4825 GOMLEK YESIL S</t>
  </si>
  <si>
    <t>SFZ01040</t>
  </si>
  <si>
    <t>ISM NOMEX ISS1003 PANTOLON YESIL S</t>
  </si>
  <si>
    <t>SFZ00576</t>
  </si>
  <si>
    <t>ISM NOMEX ISS4825 GOMLEK YESIL XL</t>
  </si>
  <si>
    <t>ISM NOMEX ISS4825 GOMLEK YESIL 4XL</t>
  </si>
  <si>
    <t>SFZ00579</t>
  </si>
  <si>
    <t>SFZ01590</t>
  </si>
  <si>
    <t>GTC ALEV ALMAZ PANTOLON TURUNCU XL</t>
  </si>
  <si>
    <t>SFZ00703</t>
  </si>
  <si>
    <t>ISM NOMEX ISW4502-PT KABAN TURUNCU 2XS</t>
  </si>
  <si>
    <t>SFZ00704</t>
  </si>
  <si>
    <t>ISM NOMEX ISW4502-PT KABAN TURUNCU XS</t>
  </si>
  <si>
    <t>SFZ00705</t>
  </si>
  <si>
    <t>ISM NOMEX ISW4502-PT KABAN TURUNCU S</t>
  </si>
  <si>
    <t>ISM NOMEX ISW4502-PT KABAN TURUNCU M</t>
  </si>
  <si>
    <t>SFZ00706</t>
  </si>
  <si>
    <t>SFZ00707</t>
  </si>
  <si>
    <t>ISM NOMEX ISW4502-PT KABAN TURUNCU L</t>
  </si>
  <si>
    <t>SFZ01289</t>
  </si>
  <si>
    <t>ISM NOMEX ISW4502-PT KABAN TURUNCU XL</t>
  </si>
  <si>
    <t>SFZ00708</t>
  </si>
  <si>
    <t>ISM NOMEX ISW4502-PT KABAN TURUNCU 2XL</t>
  </si>
  <si>
    <t>SFZ00709</t>
  </si>
  <si>
    <t>ISM NOMEX ISW4502-PT KABAN TURUNCU 3XL</t>
  </si>
  <si>
    <t>R5</t>
  </si>
  <si>
    <t>SFZ00541</t>
  </si>
  <si>
    <t>GTC ALEV ALMAZ KABAN YESIL 2XS</t>
  </si>
  <si>
    <t>SFZ00542</t>
  </si>
  <si>
    <t>GTC ALEV ALMAZ KABAN YESIL XS</t>
  </si>
  <si>
    <t>SFZ00543</t>
  </si>
  <si>
    <t>GTC ALEV ALMAZ KABAN YESIL S</t>
  </si>
  <si>
    <t>SFZ00544</t>
  </si>
  <si>
    <t>GTC ALEV ALMAZ KABAN YESIL M</t>
  </si>
  <si>
    <t>SFZ00546</t>
  </si>
  <si>
    <t>GTC ALEV ALMAZ KABAN YESIL XL</t>
  </si>
  <si>
    <t>SFZ00548</t>
  </si>
  <si>
    <t>GTC ALEV ALMAZ KABAN YESIL 3XL</t>
  </si>
  <si>
    <t>SFZ00549</t>
  </si>
  <si>
    <t>GTC ALEV ALMAZ KABAN YESIL 4XL</t>
  </si>
  <si>
    <t>SFZ00545</t>
  </si>
  <si>
    <t>GTC ALEV ALMAZ KABAN YESIL L</t>
  </si>
  <si>
    <t>SFZ00547</t>
  </si>
  <si>
    <t>GTC ALEV ALMAZ KABAN YESIL 2XL</t>
  </si>
  <si>
    <t>SFZ00562</t>
  </si>
  <si>
    <t>ISM NOMEX ISW4501-PT KABAN YESIL 2XS</t>
  </si>
  <si>
    <t>SFZ00563</t>
  </si>
  <si>
    <t>ISM NOMEX ISW4501-PT KABAN YESIL XS</t>
  </si>
  <si>
    <t>SFZ00564</t>
  </si>
  <si>
    <t>ISM NOMEX ISW4501-PT KABAN YESIL S</t>
  </si>
  <si>
    <t>SFZ00565</t>
  </si>
  <si>
    <t>ISM NOMEX ISW4501-PT KABAN YESIL M</t>
  </si>
  <si>
    <t>SFZ00566</t>
  </si>
  <si>
    <t>ISM NOMEX ISW4501-PT KABAN YESIL L</t>
  </si>
  <si>
    <t>SFZ00567</t>
  </si>
  <si>
    <t>ISM NOMEX ISW4501-PT KABAN YESIL XL</t>
  </si>
  <si>
    <t>SFZ00568</t>
  </si>
  <si>
    <t>ISM NOMEX ISW4501-PT KABAN YESIL 2XL</t>
  </si>
  <si>
    <t>SFZ00569</t>
  </si>
  <si>
    <t>ISM NOMEX ISW4501-PT KABAN YESIL 3XL</t>
  </si>
  <si>
    <t>R6</t>
  </si>
  <si>
    <t>F</t>
  </si>
  <si>
    <t>SFZ00570</t>
  </si>
  <si>
    <t>ISM NOMEX ISW4501-PT KABAN YESIL 4XL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</si>
</sst>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2" borderId="2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2" borderId="14" xfId="0" applyFill="1" applyBorder="1"/>
    <xf numFmtId="0" fontId="0" fillId="2" borderId="4" xfId="0" applyFill="1" applyBorder="1"/>
    <xf numFmtId="0" fontId="0" fillId="2" borderId="22" xfId="0" applyFill="1" applyBorder="1" applyAlignment="1">
      <alignment horizontal="center"/>
    </xf>
    <xf numFmtId="0" fontId="0" fillId="2" borderId="16" xfId="0" applyFill="1" applyBorder="1"/>
    <xf numFmtId="0" fontId="0" fillId="2" borderId="2" xfId="0" applyFill="1" applyBorder="1"/>
    <xf numFmtId="0" fontId="0" fillId="2" borderId="24" xfId="0" applyFill="1" applyBorder="1"/>
    <xf numFmtId="0" fontId="0" fillId="2" borderId="25" xfId="0" applyFill="1" applyBorder="1"/>
    <xf numFmtId="0" fontId="2" fillId="2" borderId="26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26" xfId="0" applyFill="1" applyBorder="1" applyAlignment="1">
      <alignment horizontal="center" vertical="center"/>
    </xf>
    <xf numFmtId="0" fontId="0" fillId="2" borderId="15" xfId="0" applyFill="1" applyBorder="1"/>
    <xf numFmtId="0" fontId="0" fillId="2" borderId="9" xfId="0" applyFill="1" applyBorder="1"/>
    <xf numFmtId="0" fontId="0" fillId="2" borderId="10" xfId="0" applyFill="1" applyBorder="1" applyAlignment="1">
      <alignment horizontal="center"/>
    </xf>
    <xf numFmtId="0" fontId="0" fillId="2" borderId="1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7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/>
    </xf>
    <xf numFmtId="0" fontId="2" fillId="2" borderId="25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center" vertical="center"/>
    </xf>
    <xf numFmtId="0" fontId="0" fillId="3" borderId="14" xfId="0" applyFill="1" applyBorder="1"/>
    <xf numFmtId="0" fontId="0" fillId="3" borderId="4" xfId="0" applyFill="1" applyBorder="1"/>
    <xf numFmtId="0" fontId="0" fillId="3" borderId="17" xfId="0" applyFill="1" applyBorder="1"/>
    <xf numFmtId="0" fontId="2" fillId="3" borderId="1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center" vertical="center"/>
    </xf>
    <xf numFmtId="0" fontId="0" fillId="3" borderId="15" xfId="0" applyFill="1" applyBorder="1"/>
    <xf numFmtId="0" fontId="0" fillId="3" borderId="9" xfId="0" applyFill="1" applyBorder="1"/>
    <xf numFmtId="0" fontId="0" fillId="3" borderId="10" xfId="0" applyFill="1" applyBorder="1"/>
    <xf numFmtId="0" fontId="2" fillId="3" borderId="1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/>
    </xf>
    <xf numFmtId="0" fontId="0" fillId="3" borderId="24" xfId="0" applyFill="1" applyBorder="1"/>
    <xf numFmtId="0" fontId="0" fillId="3" borderId="25" xfId="0" applyFill="1" applyBorder="1"/>
    <xf numFmtId="0" fontId="2" fillId="3" borderId="26" xfId="0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0" fillId="3" borderId="19" xfId="0" applyFill="1" applyBorder="1"/>
    <xf numFmtId="0" fontId="0" fillId="3" borderId="1" xfId="0" applyFill="1" applyBorder="1"/>
    <xf numFmtId="0" fontId="2" fillId="3" borderId="20" xfId="0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left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left" vertical="center"/>
    </xf>
    <xf numFmtId="0" fontId="0" fillId="3" borderId="15" xfId="0" applyFill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7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2" borderId="0" xfId="0" applyFill="1"/>
    <xf numFmtId="0" fontId="0" fillId="3" borderId="16" xfId="0" applyFill="1" applyBorder="1"/>
    <xf numFmtId="0" fontId="0" fillId="3" borderId="2" xfId="0" applyFill="1" applyBorder="1"/>
    <xf numFmtId="0" fontId="0" fillId="3" borderId="22" xfId="0" applyFill="1" applyBorder="1" applyAlignment="1">
      <alignment horizontal="center"/>
    </xf>
    <xf numFmtId="0" fontId="0" fillId="3" borderId="24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20" xfId="0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2" fillId="2" borderId="24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left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9" xfId="0" applyFill="1" applyBorder="1"/>
    <xf numFmtId="0" fontId="2" fillId="3" borderId="1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20" xfId="0" applyFill="1" applyBorder="1" applyAlignment="1">
      <alignment horizontal="center"/>
    </xf>
    <xf numFmtId="0" fontId="0" fillId="3" borderId="16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2" borderId="19" xfId="0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4" xfId="0" applyBorder="1"/>
    <xf numFmtId="0" fontId="0" fillId="0" borderId="4" xfId="0" applyBorder="1"/>
    <xf numFmtId="0" fontId="0" fillId="0" borderId="17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0" fillId="0" borderId="15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6" xfId="0" applyBorder="1"/>
    <xf numFmtId="0" fontId="0" fillId="0" borderId="2" xfId="0" applyBorder="1"/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/>
    <xf numFmtId="0" fontId="0" fillId="0" borderId="1" xfId="0" applyBorder="1"/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2" borderId="22" xfId="0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23" xfId="0" applyFont="1" applyBorder="1"/>
    <xf numFmtId="0" fontId="1" fillId="0" borderId="8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3" xfId="0" applyBorder="1"/>
    <xf numFmtId="0" fontId="0" fillId="0" borderId="23" xfId="0" applyBorder="1"/>
    <xf numFmtId="0" fontId="1" fillId="0" borderId="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1" fillId="2" borderId="23" xfId="0" applyFont="1" applyFill="1" applyBorder="1"/>
    <xf numFmtId="0" fontId="1" fillId="2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37F7-A331-4DC2-BF42-628416D55207}">
  <dimension ref="B5:U137"/>
  <sheetViews>
    <sheetView tabSelected="1" topLeftCell="A116" workbookViewId="0">
      <selection activeCell="E73" sqref="E73"/>
    </sheetView>
  </sheetViews>
  <sheetFormatPr defaultRowHeight="14.4" x14ac:dyDescent="0.3"/>
  <cols>
    <col min="3" max="3" width="2" bestFit="1" customWidth="1"/>
    <col min="5" max="5" width="42.21875" bestFit="1" customWidth="1"/>
    <col min="6" max="6" width="5.21875" bestFit="1" customWidth="1"/>
    <col min="8" max="8" width="43.21875" bestFit="1" customWidth="1"/>
    <col min="9" max="9" width="5.21875" bestFit="1" customWidth="1"/>
    <col min="11" max="11" width="39.109375" bestFit="1" customWidth="1"/>
    <col min="12" max="12" width="5.21875" bestFit="1" customWidth="1"/>
    <col min="14" max="14" width="38.109375" bestFit="1" customWidth="1"/>
    <col min="15" max="15" width="5.21875" bestFit="1" customWidth="1"/>
    <col min="17" max="17" width="33.88671875" customWidth="1"/>
    <col min="18" max="18" width="5.21875" bestFit="1" customWidth="1"/>
    <col min="20" max="20" width="39" bestFit="1" customWidth="1"/>
  </cols>
  <sheetData>
    <row r="5" spans="2:18" ht="15" thickBot="1" x14ac:dyDescent="0.35"/>
    <row r="6" spans="2:18" x14ac:dyDescent="0.3">
      <c r="B6" s="170" t="s">
        <v>0</v>
      </c>
      <c r="C6" s="173"/>
      <c r="D6" s="175" t="s">
        <v>1</v>
      </c>
      <c r="E6" s="162"/>
      <c r="F6" s="163"/>
      <c r="G6" s="176" t="s">
        <v>2</v>
      </c>
      <c r="H6" s="177"/>
      <c r="I6" s="178"/>
      <c r="J6" s="161" t="s">
        <v>3</v>
      </c>
      <c r="K6" s="162"/>
      <c r="L6" s="163"/>
      <c r="M6" s="161" t="s">
        <v>4</v>
      </c>
      <c r="N6" s="162" t="s">
        <v>6</v>
      </c>
      <c r="O6" s="163"/>
      <c r="P6" s="162" t="s">
        <v>5</v>
      </c>
      <c r="Q6" s="162"/>
      <c r="R6" s="163" t="s">
        <v>6</v>
      </c>
    </row>
    <row r="7" spans="2:18" ht="15" thickBot="1" x14ac:dyDescent="0.35">
      <c r="B7" s="171"/>
      <c r="C7" s="174"/>
      <c r="D7" s="1" t="s">
        <v>7</v>
      </c>
      <c r="E7" s="1" t="s">
        <v>8</v>
      </c>
      <c r="F7" s="2" t="s">
        <v>6</v>
      </c>
      <c r="G7" s="3" t="s">
        <v>7</v>
      </c>
      <c r="H7" s="1" t="s">
        <v>8</v>
      </c>
      <c r="I7" s="2" t="s">
        <v>6</v>
      </c>
      <c r="J7" s="3" t="s">
        <v>7</v>
      </c>
      <c r="K7" s="1" t="s">
        <v>8</v>
      </c>
      <c r="L7" s="2" t="s">
        <v>6</v>
      </c>
      <c r="M7" s="3" t="s">
        <v>7</v>
      </c>
      <c r="N7" s="1" t="s">
        <v>8</v>
      </c>
      <c r="O7" s="2" t="s">
        <v>6</v>
      </c>
      <c r="P7" s="4" t="s">
        <v>7</v>
      </c>
      <c r="Q7" s="1" t="s">
        <v>8</v>
      </c>
      <c r="R7" s="2" t="s">
        <v>6</v>
      </c>
    </row>
    <row r="8" spans="2:18" x14ac:dyDescent="0.3">
      <c r="B8" s="171"/>
      <c r="C8" s="179">
        <v>1</v>
      </c>
      <c r="D8" s="5" t="s">
        <v>9</v>
      </c>
      <c r="E8" s="6" t="s">
        <v>10</v>
      </c>
      <c r="F8" s="7">
        <v>70</v>
      </c>
      <c r="G8" s="8" t="s">
        <v>15</v>
      </c>
      <c r="H8" s="6" t="s">
        <v>16</v>
      </c>
      <c r="I8" s="7">
        <v>30</v>
      </c>
      <c r="J8" s="8" t="s">
        <v>15</v>
      </c>
      <c r="K8" s="9" t="s">
        <v>16</v>
      </c>
      <c r="L8" s="7">
        <v>16</v>
      </c>
      <c r="M8" s="43"/>
      <c r="N8" s="44"/>
      <c r="O8" s="45"/>
      <c r="P8" s="46" t="s">
        <v>23</v>
      </c>
      <c r="Q8" s="47" t="s">
        <v>24</v>
      </c>
      <c r="R8" s="48">
        <v>40</v>
      </c>
    </row>
    <row r="9" spans="2:18" ht="15" thickBot="1" x14ac:dyDescent="0.35">
      <c r="B9" s="171"/>
      <c r="C9" s="181"/>
      <c r="D9" s="10"/>
      <c r="E9" s="11"/>
      <c r="F9" s="12"/>
      <c r="G9" s="13" t="s">
        <v>17</v>
      </c>
      <c r="H9" s="14" t="s">
        <v>18</v>
      </c>
      <c r="I9" s="12">
        <v>32</v>
      </c>
      <c r="J9" s="15"/>
      <c r="K9" s="16"/>
      <c r="L9" s="12"/>
      <c r="M9" s="49"/>
      <c r="N9" s="50"/>
      <c r="O9" s="51"/>
      <c r="P9" s="52"/>
      <c r="Q9" s="53"/>
      <c r="R9" s="54"/>
    </row>
    <row r="10" spans="2:18" x14ac:dyDescent="0.3">
      <c r="B10" s="171"/>
      <c r="C10" s="179">
        <v>2</v>
      </c>
      <c r="D10" s="9" t="s">
        <v>9</v>
      </c>
      <c r="E10" s="6" t="s">
        <v>10</v>
      </c>
      <c r="F10" s="7">
        <v>40</v>
      </c>
      <c r="G10" s="17" t="s">
        <v>21</v>
      </c>
      <c r="H10" s="18" t="s">
        <v>22</v>
      </c>
      <c r="I10" s="19">
        <v>139</v>
      </c>
      <c r="J10" s="20" t="s">
        <v>15</v>
      </c>
      <c r="K10" s="21" t="s">
        <v>16</v>
      </c>
      <c r="L10" s="19">
        <v>70</v>
      </c>
      <c r="M10" s="46" t="s">
        <v>42</v>
      </c>
      <c r="N10" s="47" t="s">
        <v>41</v>
      </c>
      <c r="O10" s="48">
        <v>60</v>
      </c>
      <c r="P10" s="43" t="s">
        <v>25</v>
      </c>
      <c r="Q10" s="44" t="s">
        <v>26</v>
      </c>
      <c r="R10" s="55">
        <v>10</v>
      </c>
    </row>
    <row r="11" spans="2:18" x14ac:dyDescent="0.3">
      <c r="B11" s="171"/>
      <c r="C11" s="182"/>
      <c r="D11" s="22" t="s">
        <v>13</v>
      </c>
      <c r="E11" s="23" t="s">
        <v>14</v>
      </c>
      <c r="F11" s="24">
        <v>100</v>
      </c>
      <c r="G11" s="22"/>
      <c r="H11" s="23"/>
      <c r="I11" s="25"/>
      <c r="J11" s="26" t="s">
        <v>17</v>
      </c>
      <c r="K11" s="27" t="s">
        <v>18</v>
      </c>
      <c r="L11" s="28">
        <v>58</v>
      </c>
      <c r="M11" s="56" t="s">
        <v>29</v>
      </c>
      <c r="N11" s="57" t="s">
        <v>30</v>
      </c>
      <c r="O11" s="58">
        <v>20</v>
      </c>
      <c r="P11" s="56" t="s">
        <v>27</v>
      </c>
      <c r="Q11" s="57" t="s">
        <v>28</v>
      </c>
      <c r="R11" s="59">
        <v>20</v>
      </c>
    </row>
    <row r="12" spans="2:18" x14ac:dyDescent="0.3">
      <c r="B12" s="171"/>
      <c r="C12" s="182"/>
      <c r="D12" s="23"/>
      <c r="E12" s="23"/>
      <c r="F12" s="24"/>
      <c r="G12" s="22"/>
      <c r="H12" s="23"/>
      <c r="I12" s="25"/>
      <c r="J12" s="13"/>
      <c r="K12" s="14"/>
      <c r="L12" s="36"/>
      <c r="M12" s="60"/>
      <c r="N12" s="61"/>
      <c r="O12" s="62"/>
      <c r="P12" s="63" t="s">
        <v>40</v>
      </c>
      <c r="Q12" s="64" t="s">
        <v>39</v>
      </c>
      <c r="R12" s="59">
        <v>20</v>
      </c>
    </row>
    <row r="13" spans="2:18" x14ac:dyDescent="0.3">
      <c r="B13" s="171"/>
      <c r="C13" s="182"/>
      <c r="D13" s="23"/>
      <c r="E13" s="23"/>
      <c r="F13" s="24"/>
      <c r="G13" s="22"/>
      <c r="H13" s="23"/>
      <c r="I13" s="25"/>
      <c r="J13" s="13"/>
      <c r="K13" s="14"/>
      <c r="L13" s="36"/>
      <c r="M13" s="60"/>
      <c r="N13" s="61"/>
      <c r="O13" s="62"/>
      <c r="P13" s="65" t="s">
        <v>42</v>
      </c>
      <c r="Q13" s="66" t="s">
        <v>41</v>
      </c>
      <c r="R13" s="59">
        <v>23</v>
      </c>
    </row>
    <row r="14" spans="2:18" ht="15" thickBot="1" x14ac:dyDescent="0.35">
      <c r="B14" s="171"/>
      <c r="C14" s="181"/>
      <c r="D14" s="40"/>
      <c r="E14" s="41"/>
      <c r="F14" s="42"/>
      <c r="G14" s="29"/>
      <c r="H14" s="30"/>
      <c r="I14" s="31"/>
      <c r="J14" s="29" t="s">
        <v>19</v>
      </c>
      <c r="K14" s="30" t="s">
        <v>20</v>
      </c>
      <c r="L14" s="31">
        <v>10</v>
      </c>
      <c r="M14" s="67" t="s">
        <v>40</v>
      </c>
      <c r="N14" s="68" t="s">
        <v>39</v>
      </c>
      <c r="O14" s="69">
        <v>40</v>
      </c>
      <c r="P14" s="49" t="s">
        <v>29</v>
      </c>
      <c r="Q14" s="50" t="s">
        <v>30</v>
      </c>
      <c r="R14" s="70">
        <v>37</v>
      </c>
    </row>
    <row r="15" spans="2:18" x14ac:dyDescent="0.3">
      <c r="B15" s="171"/>
      <c r="C15" s="179">
        <v>3</v>
      </c>
      <c r="D15" s="9" t="s">
        <v>11</v>
      </c>
      <c r="E15" s="6" t="s">
        <v>12</v>
      </c>
      <c r="F15" s="7">
        <v>60</v>
      </c>
      <c r="G15" s="17" t="s">
        <v>21</v>
      </c>
      <c r="H15" s="18" t="s">
        <v>22</v>
      </c>
      <c r="I15" s="19">
        <v>160</v>
      </c>
      <c r="J15" s="32"/>
      <c r="K15" s="33"/>
      <c r="L15" s="34"/>
      <c r="M15" s="56" t="s">
        <v>31</v>
      </c>
      <c r="N15" s="57" t="s">
        <v>32</v>
      </c>
      <c r="O15" s="71">
        <v>30</v>
      </c>
      <c r="P15" s="43" t="s">
        <v>27</v>
      </c>
      <c r="Q15" s="44" t="s">
        <v>28</v>
      </c>
      <c r="R15" s="55">
        <v>20</v>
      </c>
    </row>
    <row r="16" spans="2:18" x14ac:dyDescent="0.3">
      <c r="B16" s="171"/>
      <c r="C16" s="183"/>
      <c r="D16" s="35" t="s">
        <v>38</v>
      </c>
      <c r="E16" s="14" t="s">
        <v>37</v>
      </c>
      <c r="F16" s="36">
        <v>50</v>
      </c>
      <c r="G16" s="22"/>
      <c r="H16" s="23"/>
      <c r="I16" s="37"/>
      <c r="J16" s="26"/>
      <c r="K16" s="27"/>
      <c r="L16" s="37"/>
      <c r="M16" s="56" t="s">
        <v>33</v>
      </c>
      <c r="N16" s="57" t="s">
        <v>34</v>
      </c>
      <c r="O16" s="72">
        <v>50</v>
      </c>
      <c r="P16" s="56" t="s">
        <v>31</v>
      </c>
      <c r="Q16" s="57" t="s">
        <v>32</v>
      </c>
      <c r="R16" s="59">
        <v>70</v>
      </c>
    </row>
    <row r="17" spans="2:18" x14ac:dyDescent="0.3">
      <c r="B17" s="171"/>
      <c r="C17" s="183"/>
      <c r="D17" s="35"/>
      <c r="E17" s="14"/>
      <c r="F17" s="36"/>
      <c r="G17" s="22"/>
      <c r="H17" s="23"/>
      <c r="I17" s="37"/>
      <c r="J17" s="26"/>
      <c r="K17" s="27"/>
      <c r="L17" s="37"/>
      <c r="M17" s="56"/>
      <c r="N17" s="57"/>
      <c r="O17" s="72"/>
      <c r="P17" s="63" t="s">
        <v>40</v>
      </c>
      <c r="Q17" s="64" t="s">
        <v>39</v>
      </c>
      <c r="R17" s="59">
        <v>8</v>
      </c>
    </row>
    <row r="18" spans="2:18" x14ac:dyDescent="0.3">
      <c r="B18" s="171"/>
      <c r="C18" s="183"/>
      <c r="D18" s="38" t="s">
        <v>9</v>
      </c>
      <c r="E18" s="39" t="s">
        <v>10</v>
      </c>
      <c r="F18" s="24">
        <v>40</v>
      </c>
      <c r="G18" s="22"/>
      <c r="H18" s="23"/>
      <c r="I18" s="37"/>
      <c r="J18" s="26"/>
      <c r="K18" s="27"/>
      <c r="L18" s="37"/>
      <c r="M18" s="56" t="s">
        <v>27</v>
      </c>
      <c r="N18" s="57" t="s">
        <v>28</v>
      </c>
      <c r="O18" s="59">
        <v>40</v>
      </c>
      <c r="P18" s="56" t="s">
        <v>33</v>
      </c>
      <c r="Q18" s="57" t="s">
        <v>34</v>
      </c>
      <c r="R18" s="59">
        <v>50</v>
      </c>
    </row>
    <row r="19" spans="2:18" ht="15" thickBot="1" x14ac:dyDescent="0.35">
      <c r="B19" s="172"/>
      <c r="C19" s="184"/>
      <c r="D19" s="29" t="s">
        <v>13</v>
      </c>
      <c r="E19" s="30" t="s">
        <v>14</v>
      </c>
      <c r="F19" s="12">
        <v>10</v>
      </c>
      <c r="G19" s="29"/>
      <c r="H19" s="30"/>
      <c r="I19" s="31"/>
      <c r="J19" s="29" t="s">
        <v>19</v>
      </c>
      <c r="K19" s="30" t="s">
        <v>20</v>
      </c>
      <c r="L19" s="31">
        <v>160</v>
      </c>
      <c r="M19" s="49"/>
      <c r="N19" s="50"/>
      <c r="O19" s="70"/>
      <c r="P19" s="49" t="s">
        <v>35</v>
      </c>
      <c r="Q19" s="50" t="s">
        <v>36</v>
      </c>
      <c r="R19" s="70">
        <v>10</v>
      </c>
    </row>
    <row r="21" spans="2:18" ht="15" thickBot="1" x14ac:dyDescent="0.35"/>
    <row r="22" spans="2:18" x14ac:dyDescent="0.3">
      <c r="B22" s="170" t="s">
        <v>43</v>
      </c>
      <c r="C22" s="173"/>
      <c r="D22" s="175" t="s">
        <v>1</v>
      </c>
      <c r="E22" s="162"/>
      <c r="F22" s="163"/>
      <c r="G22" s="176" t="s">
        <v>2</v>
      </c>
      <c r="H22" s="177"/>
      <c r="I22" s="178"/>
      <c r="J22" s="161" t="s">
        <v>3</v>
      </c>
      <c r="K22" s="162"/>
      <c r="L22" s="163"/>
      <c r="M22" s="161" t="s">
        <v>4</v>
      </c>
      <c r="N22" s="162" t="s">
        <v>6</v>
      </c>
      <c r="O22" s="163"/>
    </row>
    <row r="23" spans="2:18" ht="15" thickBot="1" x14ac:dyDescent="0.35">
      <c r="B23" s="171"/>
      <c r="C23" s="174"/>
      <c r="D23" s="1" t="s">
        <v>7</v>
      </c>
      <c r="E23" s="1" t="s">
        <v>8</v>
      </c>
      <c r="F23" s="2" t="s">
        <v>6</v>
      </c>
      <c r="G23" s="3" t="s">
        <v>7</v>
      </c>
      <c r="H23" s="1" t="s">
        <v>8</v>
      </c>
      <c r="I23" s="2" t="s">
        <v>6</v>
      </c>
      <c r="J23" s="3" t="s">
        <v>7</v>
      </c>
      <c r="K23" s="1" t="s">
        <v>8</v>
      </c>
      <c r="L23" s="2" t="s">
        <v>6</v>
      </c>
      <c r="M23" s="3" t="s">
        <v>7</v>
      </c>
      <c r="N23" s="1" t="s">
        <v>8</v>
      </c>
      <c r="O23" s="2" t="s">
        <v>6</v>
      </c>
    </row>
    <row r="24" spans="2:18" x14ac:dyDescent="0.3">
      <c r="B24" s="171"/>
      <c r="C24" s="179">
        <v>1</v>
      </c>
      <c r="D24" s="5"/>
      <c r="E24" s="6"/>
      <c r="F24" s="7"/>
      <c r="G24" s="8"/>
      <c r="H24" s="9"/>
      <c r="I24" s="7"/>
      <c r="J24" s="46" t="s">
        <v>57</v>
      </c>
      <c r="K24" s="47" t="s">
        <v>56</v>
      </c>
      <c r="L24" s="48">
        <v>40</v>
      </c>
      <c r="M24" s="43"/>
      <c r="N24" s="44"/>
      <c r="O24" s="55"/>
    </row>
    <row r="25" spans="2:18" ht="15" thickBot="1" x14ac:dyDescent="0.35">
      <c r="B25" s="171"/>
      <c r="C25" s="181"/>
      <c r="D25" s="10"/>
      <c r="E25" s="11"/>
      <c r="F25" s="12"/>
      <c r="G25" s="13"/>
      <c r="H25" s="14"/>
      <c r="I25" s="12"/>
      <c r="J25" s="52" t="s">
        <v>59</v>
      </c>
      <c r="K25" s="53" t="s">
        <v>58</v>
      </c>
      <c r="L25" s="54">
        <v>25</v>
      </c>
      <c r="M25" s="52" t="s">
        <v>59</v>
      </c>
      <c r="N25" s="53" t="s">
        <v>58</v>
      </c>
      <c r="O25" s="70">
        <v>95</v>
      </c>
    </row>
    <row r="26" spans="2:18" x14ac:dyDescent="0.3">
      <c r="B26" s="171"/>
      <c r="C26" s="179">
        <v>2</v>
      </c>
      <c r="D26" s="9" t="s">
        <v>44</v>
      </c>
      <c r="E26" s="6" t="s">
        <v>45</v>
      </c>
      <c r="F26" s="7">
        <v>25</v>
      </c>
      <c r="G26" s="17" t="s">
        <v>52</v>
      </c>
      <c r="H26" s="18" t="s">
        <v>53</v>
      </c>
      <c r="I26" s="19">
        <f>60+100-20</f>
        <v>140</v>
      </c>
      <c r="J26" s="74" t="s">
        <v>60</v>
      </c>
      <c r="K26" s="75" t="s">
        <v>61</v>
      </c>
      <c r="L26" s="76">
        <v>160</v>
      </c>
      <c r="M26" s="46" t="s">
        <v>66</v>
      </c>
      <c r="N26" s="47" t="s">
        <v>67</v>
      </c>
      <c r="O26" s="48">
        <v>50</v>
      </c>
    </row>
    <row r="27" spans="2:18" x14ac:dyDescent="0.3">
      <c r="B27" s="171"/>
      <c r="C27" s="182"/>
      <c r="D27" s="22" t="s">
        <v>46</v>
      </c>
      <c r="E27" s="23" t="s">
        <v>47</v>
      </c>
      <c r="F27" s="24">
        <v>50</v>
      </c>
      <c r="G27" s="23" t="s">
        <v>48</v>
      </c>
      <c r="H27" s="23" t="s">
        <v>49</v>
      </c>
      <c r="I27" s="25">
        <f>100+20</f>
        <v>120</v>
      </c>
      <c r="J27" s="77"/>
      <c r="K27" s="64"/>
      <c r="L27" s="72"/>
      <c r="M27" s="56" t="s">
        <v>68</v>
      </c>
      <c r="N27" s="57" t="s">
        <v>69</v>
      </c>
      <c r="O27" s="58">
        <v>100</v>
      </c>
    </row>
    <row r="28" spans="2:18" x14ac:dyDescent="0.3">
      <c r="B28" s="171"/>
      <c r="C28" s="182"/>
      <c r="D28" s="23"/>
      <c r="E28" s="23"/>
      <c r="F28" s="24"/>
      <c r="G28" s="22"/>
      <c r="H28" s="23"/>
      <c r="I28" s="25"/>
      <c r="J28" s="78"/>
      <c r="K28" s="79"/>
      <c r="L28" s="80"/>
      <c r="M28" s="60" t="s">
        <v>71</v>
      </c>
      <c r="N28" s="61" t="s">
        <v>70</v>
      </c>
      <c r="O28" s="62">
        <v>90</v>
      </c>
    </row>
    <row r="29" spans="2:18" x14ac:dyDescent="0.3">
      <c r="B29" s="171"/>
      <c r="C29" s="182"/>
      <c r="D29" s="73"/>
      <c r="E29" s="23"/>
      <c r="F29" s="24"/>
      <c r="G29" s="22"/>
      <c r="H29" s="23"/>
      <c r="I29" s="25"/>
      <c r="J29" s="78"/>
      <c r="K29" s="79"/>
      <c r="L29" s="80"/>
      <c r="M29" s="60"/>
      <c r="N29" s="61"/>
      <c r="O29" s="62"/>
    </row>
    <row r="30" spans="2:18" ht="15" thickBot="1" x14ac:dyDescent="0.35">
      <c r="B30" s="171"/>
      <c r="C30" s="181"/>
      <c r="D30" s="40"/>
      <c r="E30" s="41"/>
      <c r="F30" s="42"/>
      <c r="G30" s="29"/>
      <c r="H30" s="30"/>
      <c r="I30" s="31"/>
      <c r="J30" s="49"/>
      <c r="K30" s="50"/>
      <c r="L30" s="70"/>
      <c r="M30" s="67"/>
      <c r="N30" s="68"/>
      <c r="O30" s="69"/>
    </row>
    <row r="31" spans="2:18" x14ac:dyDescent="0.3">
      <c r="B31" s="171"/>
      <c r="C31" s="179">
        <v>3</v>
      </c>
      <c r="D31" s="9" t="s">
        <v>50</v>
      </c>
      <c r="E31" s="6" t="s">
        <v>51</v>
      </c>
      <c r="F31" s="7">
        <f>155-20</f>
        <v>135</v>
      </c>
      <c r="G31" s="17" t="s">
        <v>54</v>
      </c>
      <c r="H31" s="18" t="s">
        <v>55</v>
      </c>
      <c r="I31" s="19">
        <f>160-20</f>
        <v>140</v>
      </c>
      <c r="J31" s="32" t="s">
        <v>63</v>
      </c>
      <c r="K31" s="33" t="s">
        <v>62</v>
      </c>
      <c r="L31" s="34">
        <v>100</v>
      </c>
      <c r="M31" s="81" t="s">
        <v>63</v>
      </c>
      <c r="N31" s="82" t="s">
        <v>62</v>
      </c>
      <c r="O31" s="71">
        <v>40</v>
      </c>
    </row>
    <row r="32" spans="2:18" x14ac:dyDescent="0.3">
      <c r="B32" s="171"/>
      <c r="C32" s="183"/>
      <c r="D32" s="35"/>
      <c r="E32" s="14"/>
      <c r="F32" s="36"/>
      <c r="G32" s="23" t="s">
        <v>48</v>
      </c>
      <c r="H32" s="23" t="s">
        <v>49</v>
      </c>
      <c r="I32" s="37">
        <f>30-10</f>
        <v>20</v>
      </c>
      <c r="J32" s="26" t="s">
        <v>65</v>
      </c>
      <c r="K32" s="27" t="s">
        <v>64</v>
      </c>
      <c r="L32" s="37">
        <f>60-20</f>
        <v>40</v>
      </c>
      <c r="M32" s="77" t="s">
        <v>65</v>
      </c>
      <c r="N32" s="64" t="s">
        <v>64</v>
      </c>
      <c r="O32" s="72">
        <v>61</v>
      </c>
    </row>
    <row r="33" spans="2:18" x14ac:dyDescent="0.3">
      <c r="B33" s="171"/>
      <c r="C33" s="183"/>
      <c r="D33" s="35"/>
      <c r="E33" s="14"/>
      <c r="F33" s="36"/>
      <c r="G33" s="22"/>
      <c r="H33" s="23"/>
      <c r="I33" s="37"/>
      <c r="J33" s="26"/>
      <c r="K33" s="27"/>
      <c r="L33" s="37"/>
      <c r="M33" s="56"/>
      <c r="N33" s="57"/>
      <c r="O33" s="72"/>
    </row>
    <row r="34" spans="2:18" x14ac:dyDescent="0.3">
      <c r="B34" s="171"/>
      <c r="C34" s="183"/>
      <c r="D34" s="38"/>
      <c r="E34" s="39"/>
      <c r="F34" s="24"/>
      <c r="G34" s="22"/>
      <c r="H34" s="23"/>
      <c r="I34" s="37"/>
      <c r="J34" s="26"/>
      <c r="K34" s="27"/>
      <c r="L34" s="37"/>
      <c r="M34" s="56"/>
      <c r="N34" s="57"/>
      <c r="O34" s="59"/>
    </row>
    <row r="35" spans="2:18" ht="15" thickBot="1" x14ac:dyDescent="0.35">
      <c r="B35" s="172"/>
      <c r="C35" s="184"/>
      <c r="D35" s="29"/>
      <c r="E35" s="30"/>
      <c r="F35" s="12"/>
      <c r="G35" s="29"/>
      <c r="H35" s="30"/>
      <c r="I35" s="31"/>
      <c r="J35" s="29"/>
      <c r="K35" s="30"/>
      <c r="L35" s="31"/>
      <c r="M35" s="49"/>
      <c r="N35" s="50"/>
      <c r="O35" s="70"/>
    </row>
    <row r="36" spans="2:18" x14ac:dyDescent="0.3">
      <c r="B36" s="102"/>
      <c r="C36" s="105"/>
      <c r="F36" s="103"/>
      <c r="I36" s="104"/>
      <c r="L36" s="104"/>
      <c r="O36" s="104"/>
    </row>
    <row r="37" spans="2:18" ht="15" thickBot="1" x14ac:dyDescent="0.35"/>
    <row r="38" spans="2:18" x14ac:dyDescent="0.3">
      <c r="B38" s="170" t="s">
        <v>72</v>
      </c>
      <c r="C38" s="173"/>
      <c r="D38" s="175" t="s">
        <v>1</v>
      </c>
      <c r="E38" s="162"/>
      <c r="F38" s="163"/>
      <c r="G38" s="176" t="s">
        <v>2</v>
      </c>
      <c r="H38" s="177"/>
      <c r="I38" s="178"/>
      <c r="J38" s="161" t="s">
        <v>3</v>
      </c>
      <c r="K38" s="162"/>
      <c r="L38" s="163"/>
      <c r="M38" s="161" t="s">
        <v>4</v>
      </c>
      <c r="N38" s="162" t="s">
        <v>6</v>
      </c>
      <c r="O38" s="163"/>
      <c r="P38" s="162" t="s">
        <v>5</v>
      </c>
      <c r="Q38" s="162"/>
      <c r="R38" s="163" t="s">
        <v>6</v>
      </c>
    </row>
    <row r="39" spans="2:18" ht="15" thickBot="1" x14ac:dyDescent="0.35">
      <c r="B39" s="171"/>
      <c r="C39" s="174"/>
      <c r="D39" s="1" t="s">
        <v>7</v>
      </c>
      <c r="E39" s="1" t="s">
        <v>8</v>
      </c>
      <c r="F39" s="2" t="s">
        <v>6</v>
      </c>
      <c r="G39" s="3" t="s">
        <v>7</v>
      </c>
      <c r="H39" s="1" t="s">
        <v>8</v>
      </c>
      <c r="I39" s="2" t="s">
        <v>6</v>
      </c>
      <c r="J39" s="3" t="s">
        <v>7</v>
      </c>
      <c r="K39" s="1" t="s">
        <v>8</v>
      </c>
      <c r="L39" s="2" t="s">
        <v>6</v>
      </c>
      <c r="M39" s="3" t="s">
        <v>7</v>
      </c>
      <c r="N39" s="1" t="s">
        <v>8</v>
      </c>
      <c r="O39" s="2" t="s">
        <v>6</v>
      </c>
      <c r="P39" s="4" t="s">
        <v>7</v>
      </c>
      <c r="Q39" s="1" t="s">
        <v>8</v>
      </c>
      <c r="R39" s="2" t="s">
        <v>6</v>
      </c>
    </row>
    <row r="40" spans="2:18" x14ac:dyDescent="0.3">
      <c r="B40" s="171"/>
      <c r="C40" s="179">
        <v>1</v>
      </c>
      <c r="D40" s="9" t="s">
        <v>73</v>
      </c>
      <c r="E40" s="6" t="s">
        <v>74</v>
      </c>
      <c r="F40" s="7">
        <v>44</v>
      </c>
      <c r="G40" s="8" t="s">
        <v>85</v>
      </c>
      <c r="H40" s="6" t="s">
        <v>86</v>
      </c>
      <c r="I40" s="7">
        <v>27</v>
      </c>
      <c r="J40" s="46" t="s">
        <v>103</v>
      </c>
      <c r="K40" s="47" t="s">
        <v>104</v>
      </c>
      <c r="L40" s="48">
        <v>10</v>
      </c>
      <c r="M40" s="43" t="s">
        <v>133</v>
      </c>
      <c r="N40" s="44" t="s">
        <v>134</v>
      </c>
      <c r="O40" s="55">
        <v>55</v>
      </c>
      <c r="P40" s="46" t="s">
        <v>143</v>
      </c>
      <c r="Q40" s="47" t="s">
        <v>144</v>
      </c>
      <c r="R40" s="48">
        <v>45</v>
      </c>
    </row>
    <row r="41" spans="2:18" x14ac:dyDescent="0.3">
      <c r="B41" s="171"/>
      <c r="C41" s="180"/>
      <c r="D41" s="38" t="s">
        <v>75</v>
      </c>
      <c r="E41" s="39" t="s">
        <v>76</v>
      </c>
      <c r="F41" s="24">
        <v>18</v>
      </c>
      <c r="G41" s="83" t="s">
        <v>75</v>
      </c>
      <c r="H41" s="39" t="s">
        <v>76</v>
      </c>
      <c r="I41" s="24">
        <v>25</v>
      </c>
      <c r="J41" s="65" t="s">
        <v>105</v>
      </c>
      <c r="K41" s="66" t="s">
        <v>106</v>
      </c>
      <c r="L41" s="58">
        <v>10</v>
      </c>
      <c r="M41" s="56"/>
      <c r="N41" s="57"/>
      <c r="O41" s="59"/>
      <c r="P41" s="56"/>
      <c r="Q41" s="57"/>
      <c r="R41" s="59"/>
    </row>
    <row r="42" spans="2:18" x14ac:dyDescent="0.3">
      <c r="B42" s="171"/>
      <c r="C42" s="180"/>
      <c r="D42" s="38"/>
      <c r="E42" s="39"/>
      <c r="F42" s="24"/>
      <c r="G42" s="88"/>
      <c r="H42" s="89"/>
      <c r="I42" s="90"/>
      <c r="J42" s="65" t="s">
        <v>107</v>
      </c>
      <c r="K42" s="66" t="s">
        <v>108</v>
      </c>
      <c r="L42" s="58">
        <v>10</v>
      </c>
      <c r="M42" s="56"/>
      <c r="N42" s="57"/>
      <c r="O42" s="59"/>
      <c r="P42" s="56"/>
      <c r="Q42" s="57"/>
      <c r="R42" s="59"/>
    </row>
    <row r="43" spans="2:18" x14ac:dyDescent="0.3">
      <c r="B43" s="171"/>
      <c r="C43" s="180"/>
      <c r="D43" s="38"/>
      <c r="E43" s="39"/>
      <c r="F43" s="24"/>
      <c r="G43" s="88"/>
      <c r="H43" s="89"/>
      <c r="I43" s="90"/>
      <c r="J43" s="65" t="s">
        <v>109</v>
      </c>
      <c r="K43" s="66" t="s">
        <v>110</v>
      </c>
      <c r="L43" s="58">
        <v>10</v>
      </c>
      <c r="M43" s="56"/>
      <c r="N43" s="57"/>
      <c r="O43" s="59"/>
      <c r="P43" s="56"/>
      <c r="Q43" s="57"/>
      <c r="R43" s="59"/>
    </row>
    <row r="44" spans="2:18" ht="15" thickBot="1" x14ac:dyDescent="0.35">
      <c r="B44" s="171"/>
      <c r="C44" s="181"/>
      <c r="D44" s="16" t="s">
        <v>77</v>
      </c>
      <c r="E44" s="11" t="s">
        <v>78</v>
      </c>
      <c r="F44" s="12">
        <v>35</v>
      </c>
      <c r="G44" s="84"/>
      <c r="H44" s="41"/>
      <c r="I44" s="12"/>
      <c r="J44" s="52" t="s">
        <v>111</v>
      </c>
      <c r="K44" s="53" t="s">
        <v>112</v>
      </c>
      <c r="L44" s="54">
        <v>10</v>
      </c>
      <c r="M44" s="49"/>
      <c r="N44" s="50"/>
      <c r="O44" s="70"/>
      <c r="P44" s="52"/>
      <c r="Q44" s="53"/>
      <c r="R44" s="54"/>
    </row>
    <row r="45" spans="2:18" x14ac:dyDescent="0.3">
      <c r="B45" s="171"/>
      <c r="C45" s="179">
        <v>2</v>
      </c>
      <c r="D45" s="9" t="s">
        <v>77</v>
      </c>
      <c r="E45" s="6" t="s">
        <v>78</v>
      </c>
      <c r="F45" s="7">
        <v>40</v>
      </c>
      <c r="G45" s="20" t="s">
        <v>79</v>
      </c>
      <c r="H45" s="21" t="s">
        <v>80</v>
      </c>
      <c r="I45" s="19">
        <v>100</v>
      </c>
      <c r="J45" s="43" t="s">
        <v>113</v>
      </c>
      <c r="K45" s="44" t="s">
        <v>114</v>
      </c>
      <c r="L45" s="76">
        <v>40</v>
      </c>
      <c r="M45" s="46" t="s">
        <v>135</v>
      </c>
      <c r="N45" s="47" t="s">
        <v>136</v>
      </c>
      <c r="O45" s="48">
        <v>10</v>
      </c>
      <c r="P45" s="46" t="s">
        <v>143</v>
      </c>
      <c r="Q45" s="47" t="s">
        <v>144</v>
      </c>
      <c r="R45" s="48">
        <v>45</v>
      </c>
    </row>
    <row r="46" spans="2:18" x14ac:dyDescent="0.3">
      <c r="B46" s="171"/>
      <c r="C46" s="182"/>
      <c r="D46" s="20" t="s">
        <v>79</v>
      </c>
      <c r="E46" s="21" t="s">
        <v>80</v>
      </c>
      <c r="F46" s="24">
        <v>93</v>
      </c>
      <c r="G46" s="22" t="s">
        <v>97</v>
      </c>
      <c r="H46" s="23" t="s">
        <v>98</v>
      </c>
      <c r="I46" s="25">
        <v>40</v>
      </c>
      <c r="J46" s="65" t="s">
        <v>103</v>
      </c>
      <c r="K46" s="66" t="s">
        <v>104</v>
      </c>
      <c r="L46" s="72">
        <v>40</v>
      </c>
      <c r="M46" s="56" t="s">
        <v>137</v>
      </c>
      <c r="N46" s="57" t="s">
        <v>138</v>
      </c>
      <c r="O46" s="58">
        <v>65</v>
      </c>
      <c r="P46" s="56" t="s">
        <v>145</v>
      </c>
      <c r="Q46" s="57" t="s">
        <v>146</v>
      </c>
      <c r="R46" s="59">
        <v>9</v>
      </c>
    </row>
    <row r="47" spans="2:18" x14ac:dyDescent="0.3">
      <c r="B47" s="171"/>
      <c r="C47" s="182"/>
      <c r="D47" s="23" t="s">
        <v>81</v>
      </c>
      <c r="E47" s="23" t="s">
        <v>82</v>
      </c>
      <c r="F47" s="24">
        <v>80</v>
      </c>
      <c r="G47" s="23" t="s">
        <v>81</v>
      </c>
      <c r="H47" s="23" t="s">
        <v>82</v>
      </c>
      <c r="I47" s="25">
        <v>100</v>
      </c>
      <c r="J47" s="78" t="s">
        <v>115</v>
      </c>
      <c r="K47" s="79" t="s">
        <v>116</v>
      </c>
      <c r="L47" s="80">
        <v>40</v>
      </c>
      <c r="M47" s="60"/>
      <c r="N47" s="61"/>
      <c r="O47" s="62"/>
      <c r="P47" s="63"/>
      <c r="Q47" s="64"/>
      <c r="R47" s="59"/>
    </row>
    <row r="48" spans="2:18" x14ac:dyDescent="0.3">
      <c r="B48" s="171"/>
      <c r="C48" s="182"/>
      <c r="D48" s="23" t="s">
        <v>83</v>
      </c>
      <c r="E48" s="23" t="s">
        <v>84</v>
      </c>
      <c r="F48" s="24">
        <v>75</v>
      </c>
      <c r="G48" s="22"/>
      <c r="H48" s="23"/>
      <c r="I48" s="25"/>
      <c r="J48" s="65" t="s">
        <v>105</v>
      </c>
      <c r="K48" s="66" t="s">
        <v>106</v>
      </c>
      <c r="L48" s="80">
        <v>40</v>
      </c>
      <c r="M48" s="60"/>
      <c r="N48" s="61"/>
      <c r="O48" s="62"/>
      <c r="P48" s="65"/>
      <c r="Q48" s="66"/>
      <c r="R48" s="59"/>
    </row>
    <row r="49" spans="2:18" x14ac:dyDescent="0.3">
      <c r="B49" s="171"/>
      <c r="C49" s="182"/>
      <c r="D49" s="91"/>
      <c r="E49" s="91"/>
      <c r="F49" s="90"/>
      <c r="G49" s="92"/>
      <c r="H49" s="91"/>
      <c r="I49" s="25"/>
      <c r="J49" s="93" t="s">
        <v>117</v>
      </c>
      <c r="K49" s="94" t="s">
        <v>118</v>
      </c>
      <c r="L49" s="80">
        <v>40</v>
      </c>
      <c r="M49" s="60"/>
      <c r="N49" s="61"/>
      <c r="O49" s="62"/>
      <c r="P49" s="93"/>
      <c r="Q49" s="94"/>
      <c r="R49" s="95"/>
    </row>
    <row r="50" spans="2:18" x14ac:dyDescent="0.3">
      <c r="B50" s="171"/>
      <c r="C50" s="182"/>
      <c r="D50" s="91"/>
      <c r="E50" s="91"/>
      <c r="F50" s="90"/>
      <c r="G50" s="92"/>
      <c r="H50" s="91"/>
      <c r="I50" s="25"/>
      <c r="J50" s="65" t="s">
        <v>107</v>
      </c>
      <c r="K50" s="66" t="s">
        <v>108</v>
      </c>
      <c r="L50" s="80">
        <v>40</v>
      </c>
      <c r="M50" s="60"/>
      <c r="N50" s="61"/>
      <c r="O50" s="62"/>
      <c r="P50" s="93"/>
      <c r="Q50" s="94"/>
      <c r="R50" s="95"/>
    </row>
    <row r="51" spans="2:18" x14ac:dyDescent="0.3">
      <c r="B51" s="171"/>
      <c r="C51" s="182"/>
      <c r="D51" s="91"/>
      <c r="E51" s="91"/>
      <c r="F51" s="90"/>
      <c r="G51" s="92"/>
      <c r="H51" s="91"/>
      <c r="I51" s="25"/>
      <c r="J51" s="93" t="s">
        <v>119</v>
      </c>
      <c r="K51" s="94" t="s">
        <v>120</v>
      </c>
      <c r="L51" s="80">
        <v>40</v>
      </c>
      <c r="M51" s="60"/>
      <c r="N51" s="61"/>
      <c r="O51" s="62"/>
      <c r="P51" s="93"/>
      <c r="Q51" s="94"/>
      <c r="R51" s="95"/>
    </row>
    <row r="52" spans="2:18" ht="15" thickBot="1" x14ac:dyDescent="0.35">
      <c r="B52" s="171"/>
      <c r="C52" s="181"/>
      <c r="D52" s="40"/>
      <c r="E52" s="41"/>
      <c r="F52" s="42"/>
      <c r="G52" s="29"/>
      <c r="H52" s="30"/>
      <c r="I52" s="31"/>
      <c r="J52" s="65" t="s">
        <v>109</v>
      </c>
      <c r="K52" s="66" t="s">
        <v>110</v>
      </c>
      <c r="L52" s="70">
        <v>40</v>
      </c>
      <c r="M52" s="67"/>
      <c r="N52" s="68"/>
      <c r="O52" s="69"/>
      <c r="P52" s="49"/>
      <c r="Q52" s="50"/>
      <c r="R52" s="70"/>
    </row>
    <row r="53" spans="2:18" x14ac:dyDescent="0.3">
      <c r="B53" s="171"/>
      <c r="C53" s="179">
        <v>3</v>
      </c>
      <c r="D53" s="85" t="s">
        <v>85</v>
      </c>
      <c r="E53" s="86" t="s">
        <v>86</v>
      </c>
      <c r="F53" s="7">
        <v>19</v>
      </c>
      <c r="G53" s="17" t="s">
        <v>99</v>
      </c>
      <c r="H53" s="18" t="s">
        <v>100</v>
      </c>
      <c r="I53" s="19">
        <v>50</v>
      </c>
      <c r="J53" s="81" t="s">
        <v>121</v>
      </c>
      <c r="K53" s="82" t="s">
        <v>122</v>
      </c>
      <c r="L53" s="55">
        <v>35</v>
      </c>
      <c r="M53" s="56" t="s">
        <v>139</v>
      </c>
      <c r="N53" s="57" t="s">
        <v>140</v>
      </c>
      <c r="O53" s="71">
        <v>30</v>
      </c>
      <c r="P53" s="46" t="s">
        <v>135</v>
      </c>
      <c r="Q53" s="47" t="s">
        <v>136</v>
      </c>
      <c r="R53" s="48">
        <v>45</v>
      </c>
    </row>
    <row r="54" spans="2:18" x14ac:dyDescent="0.3">
      <c r="B54" s="171"/>
      <c r="C54" s="183"/>
      <c r="D54" s="38" t="s">
        <v>77</v>
      </c>
      <c r="E54" s="39" t="s">
        <v>78</v>
      </c>
      <c r="F54" s="36">
        <v>9</v>
      </c>
      <c r="G54" s="23" t="s">
        <v>83</v>
      </c>
      <c r="H54" s="23" t="s">
        <v>84</v>
      </c>
      <c r="I54" s="37">
        <v>10</v>
      </c>
      <c r="J54" s="65" t="s">
        <v>111</v>
      </c>
      <c r="K54" s="66" t="s">
        <v>112</v>
      </c>
      <c r="L54" s="59">
        <v>34</v>
      </c>
      <c r="M54" s="56" t="s">
        <v>141</v>
      </c>
      <c r="N54" s="57" t="s">
        <v>142</v>
      </c>
      <c r="O54" s="72">
        <v>29</v>
      </c>
      <c r="P54" s="56" t="s">
        <v>147</v>
      </c>
      <c r="Q54" s="57" t="s">
        <v>148</v>
      </c>
      <c r="R54" s="59">
        <v>55</v>
      </c>
    </row>
    <row r="55" spans="2:18" x14ac:dyDescent="0.3">
      <c r="B55" s="171"/>
      <c r="C55" s="183"/>
      <c r="D55" s="35" t="s">
        <v>87</v>
      </c>
      <c r="E55" s="14" t="s">
        <v>88</v>
      </c>
      <c r="F55" s="36">
        <v>67</v>
      </c>
      <c r="G55" s="22" t="s">
        <v>101</v>
      </c>
      <c r="H55" s="23" t="s">
        <v>102</v>
      </c>
      <c r="I55" s="37">
        <v>50</v>
      </c>
      <c r="J55" s="96" t="s">
        <v>123</v>
      </c>
      <c r="K55" s="97" t="s">
        <v>124</v>
      </c>
      <c r="L55" s="59">
        <v>80</v>
      </c>
      <c r="M55" s="56"/>
      <c r="N55" s="57"/>
      <c r="O55" s="72"/>
      <c r="P55" s="63"/>
      <c r="Q55" s="64"/>
      <c r="R55" s="59"/>
    </row>
    <row r="56" spans="2:18" x14ac:dyDescent="0.3">
      <c r="B56" s="171"/>
      <c r="C56" s="183"/>
      <c r="D56" s="35" t="s">
        <v>89</v>
      </c>
      <c r="E56" s="14" t="s">
        <v>90</v>
      </c>
      <c r="F56" s="36">
        <v>22</v>
      </c>
      <c r="G56" s="35" t="s">
        <v>87</v>
      </c>
      <c r="H56" s="14" t="s">
        <v>88</v>
      </c>
      <c r="I56" s="37">
        <v>10</v>
      </c>
      <c r="J56" s="77" t="s">
        <v>125</v>
      </c>
      <c r="K56" s="64" t="s">
        <v>126</v>
      </c>
      <c r="L56" s="59">
        <v>35</v>
      </c>
      <c r="M56" s="56"/>
      <c r="N56" s="57"/>
      <c r="O56" s="72"/>
      <c r="P56" s="63"/>
      <c r="Q56" s="64"/>
      <c r="R56" s="59"/>
    </row>
    <row r="57" spans="2:18" x14ac:dyDescent="0.3">
      <c r="B57" s="171"/>
      <c r="C57" s="183"/>
      <c r="D57" s="35" t="s">
        <v>91</v>
      </c>
      <c r="E57" s="14" t="s">
        <v>92</v>
      </c>
      <c r="F57" s="36">
        <v>13</v>
      </c>
      <c r="G57" s="35" t="s">
        <v>89</v>
      </c>
      <c r="H57" s="14" t="s">
        <v>90</v>
      </c>
      <c r="I57" s="37">
        <v>40</v>
      </c>
      <c r="J57" s="77" t="s">
        <v>127</v>
      </c>
      <c r="K57" s="64" t="s">
        <v>128</v>
      </c>
      <c r="L57" s="59">
        <v>40</v>
      </c>
      <c r="M57" s="56"/>
      <c r="N57" s="57"/>
      <c r="O57" s="72"/>
      <c r="P57" s="63"/>
      <c r="Q57" s="64"/>
      <c r="R57" s="59"/>
    </row>
    <row r="58" spans="2:18" x14ac:dyDescent="0.3">
      <c r="B58" s="171"/>
      <c r="C58" s="183"/>
      <c r="D58" s="38" t="s">
        <v>93</v>
      </c>
      <c r="E58" s="39" t="s">
        <v>94</v>
      </c>
      <c r="F58" s="24">
        <v>57</v>
      </c>
      <c r="G58" s="38" t="s">
        <v>93</v>
      </c>
      <c r="H58" s="39" t="s">
        <v>94</v>
      </c>
      <c r="I58" s="37">
        <v>50</v>
      </c>
      <c r="J58" s="77" t="s">
        <v>129</v>
      </c>
      <c r="K58" s="64" t="s">
        <v>130</v>
      </c>
      <c r="L58" s="59">
        <v>60</v>
      </c>
      <c r="M58" s="56"/>
      <c r="N58" s="57"/>
      <c r="O58" s="59"/>
      <c r="P58" s="56"/>
      <c r="Q58" s="57"/>
      <c r="R58" s="59"/>
    </row>
    <row r="59" spans="2:18" ht="15" thickBot="1" x14ac:dyDescent="0.35">
      <c r="B59" s="172"/>
      <c r="C59" s="184"/>
      <c r="D59" s="29" t="s">
        <v>95</v>
      </c>
      <c r="E59" s="30" t="s">
        <v>96</v>
      </c>
      <c r="F59" s="12">
        <v>18</v>
      </c>
      <c r="G59" s="87" t="s">
        <v>91</v>
      </c>
      <c r="H59" s="41" t="s">
        <v>92</v>
      </c>
      <c r="I59" s="31">
        <v>25</v>
      </c>
      <c r="J59" s="49" t="s">
        <v>131</v>
      </c>
      <c r="K59" s="50" t="s">
        <v>132</v>
      </c>
      <c r="L59" s="70">
        <v>57</v>
      </c>
      <c r="M59" s="49"/>
      <c r="N59" s="50"/>
      <c r="O59" s="70"/>
      <c r="P59" s="49"/>
      <c r="Q59" s="50"/>
      <c r="R59" s="70"/>
    </row>
    <row r="61" spans="2:18" ht="15" thickBot="1" x14ac:dyDescent="0.35"/>
    <row r="62" spans="2:18" x14ac:dyDescent="0.3">
      <c r="B62" s="170" t="s">
        <v>149</v>
      </c>
      <c r="C62" s="173"/>
      <c r="D62" s="175" t="s">
        <v>1</v>
      </c>
      <c r="E62" s="162"/>
      <c r="F62" s="163"/>
      <c r="G62" s="176" t="s">
        <v>2</v>
      </c>
      <c r="H62" s="177"/>
      <c r="I62" s="178"/>
      <c r="J62" s="161" t="s">
        <v>3</v>
      </c>
      <c r="K62" s="162"/>
      <c r="L62" s="163"/>
      <c r="M62" s="161" t="s">
        <v>4</v>
      </c>
      <c r="N62" s="162" t="s">
        <v>6</v>
      </c>
      <c r="O62" s="163"/>
    </row>
    <row r="63" spans="2:18" ht="15" thickBot="1" x14ac:dyDescent="0.35">
      <c r="B63" s="171"/>
      <c r="C63" s="174"/>
      <c r="D63" s="1" t="s">
        <v>7</v>
      </c>
      <c r="E63" s="1" t="s">
        <v>8</v>
      </c>
      <c r="F63" s="2" t="s">
        <v>6</v>
      </c>
      <c r="G63" s="3" t="s">
        <v>7</v>
      </c>
      <c r="H63" s="1" t="s">
        <v>8</v>
      </c>
      <c r="I63" s="2" t="s">
        <v>6</v>
      </c>
      <c r="J63" s="3" t="s">
        <v>7</v>
      </c>
      <c r="K63" s="1" t="s">
        <v>8</v>
      </c>
      <c r="L63" s="2" t="s">
        <v>6</v>
      </c>
      <c r="M63" s="3" t="s">
        <v>7</v>
      </c>
      <c r="N63" s="1" t="s">
        <v>8</v>
      </c>
      <c r="O63" s="2" t="s">
        <v>6</v>
      </c>
    </row>
    <row r="64" spans="2:18" x14ac:dyDescent="0.3">
      <c r="B64" s="171"/>
      <c r="C64" s="179">
        <v>1</v>
      </c>
      <c r="D64" s="5" t="s">
        <v>150</v>
      </c>
      <c r="E64" s="6" t="s">
        <v>151</v>
      </c>
      <c r="F64" s="7">
        <v>28</v>
      </c>
      <c r="G64" s="46" t="s">
        <v>113</v>
      </c>
      <c r="H64" s="47" t="s">
        <v>114</v>
      </c>
      <c r="I64" s="48">
        <v>10</v>
      </c>
      <c r="J64" s="46" t="s">
        <v>186</v>
      </c>
      <c r="K64" s="47" t="s">
        <v>187</v>
      </c>
      <c r="L64" s="48">
        <v>20</v>
      </c>
      <c r="M64" s="43" t="s">
        <v>194</v>
      </c>
      <c r="N64" s="44" t="s">
        <v>195</v>
      </c>
      <c r="O64" s="55">
        <v>60</v>
      </c>
    </row>
    <row r="65" spans="2:15" x14ac:dyDescent="0.3">
      <c r="B65" s="171"/>
      <c r="C65" s="180"/>
      <c r="D65" s="38" t="s">
        <v>154</v>
      </c>
      <c r="E65" s="39" t="s">
        <v>155</v>
      </c>
      <c r="F65" s="24">
        <v>20</v>
      </c>
      <c r="G65" s="65" t="s">
        <v>115</v>
      </c>
      <c r="H65" s="66" t="s">
        <v>116</v>
      </c>
      <c r="I65" s="58">
        <v>10</v>
      </c>
      <c r="J65" s="65"/>
      <c r="K65" s="66"/>
      <c r="L65" s="58"/>
      <c r="M65" s="56"/>
      <c r="N65" s="57"/>
      <c r="O65" s="59"/>
    </row>
    <row r="66" spans="2:15" x14ac:dyDescent="0.3">
      <c r="B66" s="171"/>
      <c r="C66" s="180"/>
      <c r="D66" s="38" t="s">
        <v>156</v>
      </c>
      <c r="E66" s="39" t="s">
        <v>157</v>
      </c>
      <c r="F66" s="24">
        <v>10</v>
      </c>
      <c r="G66" s="65" t="s">
        <v>117</v>
      </c>
      <c r="H66" s="66" t="s">
        <v>118</v>
      </c>
      <c r="I66" s="58">
        <v>80</v>
      </c>
      <c r="J66" s="65"/>
      <c r="K66" s="66"/>
      <c r="L66" s="58"/>
      <c r="M66" s="56"/>
      <c r="N66" s="57"/>
      <c r="O66" s="59"/>
    </row>
    <row r="67" spans="2:15" x14ac:dyDescent="0.3">
      <c r="B67" s="171"/>
      <c r="C67" s="180"/>
      <c r="D67" s="100"/>
      <c r="E67" s="89"/>
      <c r="F67" s="90"/>
      <c r="G67" s="93" t="s">
        <v>119</v>
      </c>
      <c r="H67" s="94" t="s">
        <v>120</v>
      </c>
      <c r="I67" s="62">
        <v>40</v>
      </c>
      <c r="J67" s="65"/>
      <c r="K67" s="66"/>
      <c r="L67" s="58"/>
      <c r="M67" s="56"/>
      <c r="N67" s="57"/>
      <c r="O67" s="59"/>
    </row>
    <row r="68" spans="2:15" x14ac:dyDescent="0.3">
      <c r="B68" s="171"/>
      <c r="C68" s="180"/>
      <c r="D68" s="100"/>
      <c r="E68" s="89"/>
      <c r="F68" s="90"/>
      <c r="G68" s="93" t="s">
        <v>121</v>
      </c>
      <c r="H68" s="94" t="s">
        <v>122</v>
      </c>
      <c r="I68" s="62">
        <v>50</v>
      </c>
      <c r="J68" s="65"/>
      <c r="K68" s="66"/>
      <c r="L68" s="58"/>
      <c r="M68" s="56"/>
      <c r="N68" s="57"/>
      <c r="O68" s="59"/>
    </row>
    <row r="69" spans="2:15" x14ac:dyDescent="0.3">
      <c r="B69" s="171"/>
      <c r="C69" s="180"/>
      <c r="D69" s="100"/>
      <c r="E69" s="89"/>
      <c r="F69" s="90"/>
      <c r="G69" s="93" t="s">
        <v>107</v>
      </c>
      <c r="H69" s="94" t="s">
        <v>108</v>
      </c>
      <c r="I69" s="62">
        <v>20</v>
      </c>
      <c r="J69" s="65"/>
      <c r="K69" s="66"/>
      <c r="L69" s="58"/>
      <c r="M69" s="56"/>
      <c r="N69" s="57"/>
      <c r="O69" s="59"/>
    </row>
    <row r="70" spans="2:15" x14ac:dyDescent="0.3">
      <c r="B70" s="171"/>
      <c r="C70" s="180"/>
      <c r="D70" s="100"/>
      <c r="E70" s="89"/>
      <c r="F70" s="90"/>
      <c r="G70" s="93" t="s">
        <v>111</v>
      </c>
      <c r="H70" s="94" t="s">
        <v>112</v>
      </c>
      <c r="I70" s="62">
        <v>40</v>
      </c>
      <c r="J70" s="65"/>
      <c r="K70" s="66"/>
      <c r="L70" s="58"/>
      <c r="M70" s="56"/>
      <c r="N70" s="57"/>
      <c r="O70" s="59"/>
    </row>
    <row r="71" spans="2:15" ht="15" thickBot="1" x14ac:dyDescent="0.35">
      <c r="B71" s="171"/>
      <c r="C71" s="181"/>
      <c r="D71" s="10" t="s">
        <v>152</v>
      </c>
      <c r="E71" s="11" t="s">
        <v>153</v>
      </c>
      <c r="F71" s="12">
        <v>35</v>
      </c>
      <c r="G71" s="78" t="s">
        <v>184</v>
      </c>
      <c r="H71" s="101" t="s">
        <v>185</v>
      </c>
      <c r="I71" s="54">
        <v>20</v>
      </c>
      <c r="J71" s="52"/>
      <c r="K71" s="53"/>
      <c r="L71" s="54"/>
      <c r="M71" s="52"/>
      <c r="N71" s="53"/>
      <c r="O71" s="70"/>
    </row>
    <row r="72" spans="2:15" x14ac:dyDescent="0.3">
      <c r="B72" s="171"/>
      <c r="C72" s="179">
        <v>2</v>
      </c>
      <c r="D72" s="9" t="s">
        <v>176</v>
      </c>
      <c r="E72" s="14" t="s">
        <v>177</v>
      </c>
      <c r="F72" s="7">
        <v>40</v>
      </c>
      <c r="G72" s="43"/>
      <c r="H72" s="44"/>
      <c r="I72" s="76"/>
      <c r="J72" s="46" t="s">
        <v>186</v>
      </c>
      <c r="K72" s="47" t="s">
        <v>187</v>
      </c>
      <c r="L72" s="76">
        <v>5</v>
      </c>
      <c r="M72" s="43" t="s">
        <v>194</v>
      </c>
      <c r="N72" s="44" t="s">
        <v>195</v>
      </c>
      <c r="O72" s="48">
        <v>5</v>
      </c>
    </row>
    <row r="73" spans="2:15" x14ac:dyDescent="0.3">
      <c r="B73" s="171"/>
      <c r="C73" s="182"/>
      <c r="D73" s="22" t="s">
        <v>160</v>
      </c>
      <c r="E73" s="23" t="s">
        <v>161</v>
      </c>
      <c r="F73" s="24">
        <f>90-40</f>
        <v>50</v>
      </c>
      <c r="G73" s="57"/>
      <c r="H73" s="57"/>
      <c r="I73" s="95"/>
      <c r="J73" s="77" t="s">
        <v>188</v>
      </c>
      <c r="K73" s="64" t="s">
        <v>189</v>
      </c>
      <c r="L73" s="72">
        <v>45</v>
      </c>
      <c r="M73" s="56" t="s">
        <v>196</v>
      </c>
      <c r="N73" s="57" t="s">
        <v>197</v>
      </c>
      <c r="O73" s="58">
        <v>73</v>
      </c>
    </row>
    <row r="74" spans="2:15" x14ac:dyDescent="0.3">
      <c r="B74" s="171"/>
      <c r="C74" s="182"/>
      <c r="D74" s="23" t="s">
        <v>162</v>
      </c>
      <c r="E74" s="23" t="s">
        <v>163</v>
      </c>
      <c r="F74" s="24">
        <f>22+40-22</f>
        <v>40</v>
      </c>
      <c r="G74" s="56"/>
      <c r="H74" s="57"/>
      <c r="I74" s="95"/>
      <c r="J74" s="78" t="s">
        <v>190</v>
      </c>
      <c r="K74" s="79" t="s">
        <v>191</v>
      </c>
      <c r="L74" s="80">
        <v>10</v>
      </c>
      <c r="M74" s="60"/>
      <c r="N74" s="61"/>
      <c r="O74" s="62"/>
    </row>
    <row r="75" spans="2:15" x14ac:dyDescent="0.3">
      <c r="B75" s="171"/>
      <c r="C75" s="182"/>
      <c r="D75" s="98" t="s">
        <v>164</v>
      </c>
      <c r="E75" s="91" t="s">
        <v>165</v>
      </c>
      <c r="F75" s="90">
        <f>100-40</f>
        <v>60</v>
      </c>
      <c r="G75" s="56"/>
      <c r="H75" s="57"/>
      <c r="I75" s="95"/>
      <c r="J75" s="78"/>
      <c r="K75" s="79"/>
      <c r="L75" s="80"/>
      <c r="M75" s="60"/>
      <c r="N75" s="61"/>
      <c r="O75" s="62"/>
    </row>
    <row r="76" spans="2:15" x14ac:dyDescent="0.3">
      <c r="B76" s="171"/>
      <c r="C76" s="182"/>
      <c r="D76" s="38" t="s">
        <v>166</v>
      </c>
      <c r="E76" s="23" t="s">
        <v>167</v>
      </c>
      <c r="F76" s="24">
        <f>66-16</f>
        <v>50</v>
      </c>
      <c r="G76" s="60"/>
      <c r="H76" s="61"/>
      <c r="I76" s="95"/>
      <c r="J76" s="78"/>
      <c r="K76" s="79"/>
      <c r="L76" s="80"/>
      <c r="M76" s="60"/>
      <c r="N76" s="61"/>
      <c r="O76" s="62"/>
    </row>
    <row r="77" spans="2:15" x14ac:dyDescent="0.3">
      <c r="B77" s="171"/>
      <c r="C77" s="182"/>
      <c r="D77" s="38" t="s">
        <v>168</v>
      </c>
      <c r="E77" s="23" t="s">
        <v>169</v>
      </c>
      <c r="F77" s="24">
        <v>40</v>
      </c>
      <c r="G77" s="60"/>
      <c r="H77" s="61"/>
      <c r="I77" s="95"/>
      <c r="J77" s="78"/>
      <c r="K77" s="79"/>
      <c r="L77" s="80"/>
      <c r="M77" s="60"/>
      <c r="N77" s="61"/>
      <c r="O77" s="62"/>
    </row>
    <row r="78" spans="2:15" x14ac:dyDescent="0.3">
      <c r="B78" s="171"/>
      <c r="C78" s="182"/>
      <c r="D78" s="38" t="s">
        <v>170</v>
      </c>
      <c r="E78" s="23" t="s">
        <v>171</v>
      </c>
      <c r="F78" s="24">
        <f>80-40</f>
        <v>40</v>
      </c>
      <c r="G78" s="60"/>
      <c r="H78" s="61"/>
      <c r="I78" s="95"/>
      <c r="J78" s="78"/>
      <c r="K78" s="79"/>
      <c r="L78" s="80"/>
      <c r="M78" s="60"/>
      <c r="N78" s="61"/>
      <c r="O78" s="62"/>
    </row>
    <row r="79" spans="2:15" x14ac:dyDescent="0.3">
      <c r="B79" s="171"/>
      <c r="C79" s="182"/>
      <c r="D79" s="38" t="s">
        <v>156</v>
      </c>
      <c r="E79" s="39" t="s">
        <v>157</v>
      </c>
      <c r="F79" s="24">
        <v>40</v>
      </c>
      <c r="G79" s="60"/>
      <c r="H79" s="61"/>
      <c r="I79" s="95"/>
      <c r="J79" s="78"/>
      <c r="K79" s="79"/>
      <c r="L79" s="80"/>
      <c r="M79" s="60"/>
      <c r="N79" s="61"/>
      <c r="O79" s="62"/>
    </row>
    <row r="80" spans="2:15" ht="15" thickBot="1" x14ac:dyDescent="0.35">
      <c r="B80" s="171"/>
      <c r="C80" s="181"/>
      <c r="D80" s="38" t="s">
        <v>154</v>
      </c>
      <c r="E80" s="39" t="s">
        <v>155</v>
      </c>
      <c r="F80" s="42">
        <f>100-40</f>
        <v>60</v>
      </c>
      <c r="G80" s="49"/>
      <c r="H80" s="50"/>
      <c r="I80" s="70"/>
      <c r="J80" s="49"/>
      <c r="K80" s="50"/>
      <c r="L80" s="70"/>
      <c r="M80" s="67"/>
      <c r="N80" s="68"/>
      <c r="O80" s="69"/>
    </row>
    <row r="81" spans="2:18" x14ac:dyDescent="0.3">
      <c r="B81" s="171"/>
      <c r="C81" s="179">
        <v>3</v>
      </c>
      <c r="D81" s="9" t="s">
        <v>172</v>
      </c>
      <c r="E81" s="6" t="s">
        <v>173</v>
      </c>
      <c r="F81" s="7">
        <v>100</v>
      </c>
      <c r="G81" s="43"/>
      <c r="H81" s="44"/>
      <c r="I81" s="76"/>
      <c r="J81" s="78" t="s">
        <v>190</v>
      </c>
      <c r="K81" s="79" t="s">
        <v>191</v>
      </c>
      <c r="L81" s="55">
        <v>104</v>
      </c>
      <c r="M81" s="43" t="s">
        <v>194</v>
      </c>
      <c r="N81" s="44" t="s">
        <v>195</v>
      </c>
      <c r="O81" s="48">
        <v>5</v>
      </c>
    </row>
    <row r="82" spans="2:18" x14ac:dyDescent="0.3">
      <c r="B82" s="171"/>
      <c r="C82" s="183"/>
      <c r="D82" s="35" t="s">
        <v>174</v>
      </c>
      <c r="E82" s="14" t="s">
        <v>175</v>
      </c>
      <c r="F82" s="36">
        <v>100</v>
      </c>
      <c r="G82" s="57"/>
      <c r="H82" s="57"/>
      <c r="I82" s="59"/>
      <c r="J82" s="77" t="s">
        <v>193</v>
      </c>
      <c r="K82" s="64" t="s">
        <v>192</v>
      </c>
      <c r="L82" s="59">
        <v>90</v>
      </c>
      <c r="M82" s="77" t="s">
        <v>198</v>
      </c>
      <c r="N82" s="64" t="s">
        <v>199</v>
      </c>
      <c r="O82" s="72">
        <v>25</v>
      </c>
    </row>
    <row r="83" spans="2:18" x14ac:dyDescent="0.3">
      <c r="B83" s="171"/>
      <c r="C83" s="183"/>
      <c r="D83" s="35" t="s">
        <v>176</v>
      </c>
      <c r="E83" s="14" t="s">
        <v>177</v>
      </c>
      <c r="F83" s="36">
        <f>100-40</f>
        <v>60</v>
      </c>
      <c r="G83" s="56"/>
      <c r="H83" s="57"/>
      <c r="I83" s="59"/>
      <c r="J83" s="77"/>
      <c r="K83" s="64"/>
      <c r="L83" s="59"/>
      <c r="M83" s="56" t="s">
        <v>200</v>
      </c>
      <c r="N83" s="57" t="s">
        <v>201</v>
      </c>
      <c r="O83" s="72">
        <v>61</v>
      </c>
    </row>
    <row r="84" spans="2:18" x14ac:dyDescent="0.3">
      <c r="B84" s="171"/>
      <c r="C84" s="183"/>
      <c r="D84" s="99" t="s">
        <v>166</v>
      </c>
      <c r="E84" s="91" t="s">
        <v>167</v>
      </c>
      <c r="F84" s="36">
        <v>50</v>
      </c>
      <c r="G84" s="56"/>
      <c r="H84" s="57"/>
      <c r="I84" s="59"/>
      <c r="J84" s="77"/>
      <c r="K84" s="64"/>
      <c r="L84" s="59"/>
      <c r="M84" s="56"/>
      <c r="N84" s="57"/>
      <c r="O84" s="72"/>
    </row>
    <row r="85" spans="2:18" x14ac:dyDescent="0.3">
      <c r="B85" s="171"/>
      <c r="C85" s="183"/>
      <c r="D85" s="38" t="s">
        <v>158</v>
      </c>
      <c r="E85" s="39" t="s">
        <v>159</v>
      </c>
      <c r="F85" s="36">
        <v>50</v>
      </c>
      <c r="G85" s="56"/>
      <c r="H85" s="57"/>
      <c r="I85" s="59"/>
      <c r="J85" s="77"/>
      <c r="K85" s="64"/>
      <c r="L85" s="59"/>
      <c r="M85" s="56"/>
      <c r="N85" s="57"/>
      <c r="O85" s="72"/>
    </row>
    <row r="86" spans="2:18" x14ac:dyDescent="0.3">
      <c r="B86" s="171"/>
      <c r="C86" s="183"/>
      <c r="D86" s="23" t="s">
        <v>162</v>
      </c>
      <c r="E86" s="23" t="s">
        <v>163</v>
      </c>
      <c r="F86" s="36">
        <v>60</v>
      </c>
      <c r="G86" s="56"/>
      <c r="H86" s="57"/>
      <c r="I86" s="59"/>
      <c r="J86" s="77"/>
      <c r="K86" s="64"/>
      <c r="L86" s="59"/>
      <c r="M86" s="56"/>
      <c r="N86" s="57"/>
      <c r="O86" s="72"/>
    </row>
    <row r="87" spans="2:18" x14ac:dyDescent="0.3">
      <c r="B87" s="171"/>
      <c r="C87" s="183"/>
      <c r="D87" s="38" t="s">
        <v>178</v>
      </c>
      <c r="E87" s="39" t="s">
        <v>179</v>
      </c>
      <c r="F87" s="24">
        <f>100-50</f>
        <v>50</v>
      </c>
      <c r="G87" s="56"/>
      <c r="H87" s="57"/>
      <c r="I87" s="59"/>
      <c r="J87" s="77"/>
      <c r="K87" s="64"/>
      <c r="L87" s="59"/>
      <c r="M87" s="56"/>
      <c r="N87" s="57"/>
      <c r="O87" s="59"/>
    </row>
    <row r="88" spans="2:18" x14ac:dyDescent="0.3">
      <c r="B88" s="171"/>
      <c r="C88" s="183"/>
      <c r="D88" s="100" t="s">
        <v>183</v>
      </c>
      <c r="E88" s="89" t="s">
        <v>182</v>
      </c>
      <c r="F88" s="90">
        <v>10</v>
      </c>
      <c r="G88" s="60"/>
      <c r="H88" s="61"/>
      <c r="I88" s="95"/>
      <c r="J88" s="78"/>
      <c r="K88" s="79"/>
      <c r="L88" s="95"/>
      <c r="M88" s="60"/>
      <c r="N88" s="61"/>
      <c r="O88" s="95"/>
    </row>
    <row r="89" spans="2:18" ht="15" thickBot="1" x14ac:dyDescent="0.35">
      <c r="B89" s="172"/>
      <c r="C89" s="184"/>
      <c r="D89" s="29" t="s">
        <v>180</v>
      </c>
      <c r="E89" s="30" t="s">
        <v>181</v>
      </c>
      <c r="F89" s="12">
        <f>83-40</f>
        <v>43</v>
      </c>
      <c r="G89" s="49"/>
      <c r="H89" s="50"/>
      <c r="I89" s="70"/>
      <c r="J89" s="49"/>
      <c r="K89" s="50"/>
      <c r="L89" s="70"/>
      <c r="M89" s="49"/>
      <c r="N89" s="50"/>
      <c r="O89" s="70"/>
    </row>
    <row r="91" spans="2:18" ht="15" thickBot="1" x14ac:dyDescent="0.35"/>
    <row r="92" spans="2:18" x14ac:dyDescent="0.3">
      <c r="B92" s="170" t="s">
        <v>202</v>
      </c>
      <c r="C92" s="173"/>
      <c r="D92" s="175" t="s">
        <v>1</v>
      </c>
      <c r="E92" s="162"/>
      <c r="F92" s="163"/>
      <c r="G92" s="176" t="s">
        <v>2</v>
      </c>
      <c r="H92" s="177"/>
      <c r="I92" s="178"/>
      <c r="J92" s="161" t="s">
        <v>3</v>
      </c>
      <c r="K92" s="162"/>
      <c r="L92" s="163"/>
      <c r="M92" s="161" t="s">
        <v>4</v>
      </c>
      <c r="N92" s="162" t="s">
        <v>6</v>
      </c>
      <c r="O92" s="163"/>
      <c r="P92" s="161" t="s">
        <v>5</v>
      </c>
      <c r="Q92" s="162"/>
      <c r="R92" s="163" t="s">
        <v>6</v>
      </c>
    </row>
    <row r="93" spans="2:18" ht="15" thickBot="1" x14ac:dyDescent="0.35">
      <c r="B93" s="171"/>
      <c r="C93" s="174"/>
      <c r="D93" s="1" t="s">
        <v>7</v>
      </c>
      <c r="E93" s="1" t="s">
        <v>8</v>
      </c>
      <c r="F93" s="2" t="s">
        <v>6</v>
      </c>
      <c r="G93" s="3" t="s">
        <v>7</v>
      </c>
      <c r="H93" s="1" t="s">
        <v>8</v>
      </c>
      <c r="I93" s="2" t="s">
        <v>6</v>
      </c>
      <c r="J93" s="3" t="s">
        <v>7</v>
      </c>
      <c r="K93" s="1" t="s">
        <v>8</v>
      </c>
      <c r="L93" s="2" t="s">
        <v>6</v>
      </c>
      <c r="M93" s="3" t="s">
        <v>7</v>
      </c>
      <c r="N93" s="1" t="s">
        <v>8</v>
      </c>
      <c r="O93" s="2" t="s">
        <v>6</v>
      </c>
      <c r="P93" s="157" t="s">
        <v>7</v>
      </c>
      <c r="Q93" s="158" t="s">
        <v>8</v>
      </c>
      <c r="R93" s="159" t="s">
        <v>6</v>
      </c>
    </row>
    <row r="94" spans="2:18" x14ac:dyDescent="0.3">
      <c r="B94" s="171"/>
      <c r="C94" s="179">
        <v>1</v>
      </c>
      <c r="D94" s="9" t="s">
        <v>203</v>
      </c>
      <c r="E94" s="6" t="s">
        <v>204</v>
      </c>
      <c r="F94" s="7">
        <v>50</v>
      </c>
      <c r="G94" s="8"/>
      <c r="H94" s="6"/>
      <c r="I94" s="7"/>
      <c r="J94" s="8" t="s">
        <v>217</v>
      </c>
      <c r="K94" s="6" t="s">
        <v>218</v>
      </c>
      <c r="L94" s="7">
        <v>45</v>
      </c>
      <c r="M94" s="17" t="s">
        <v>221</v>
      </c>
      <c r="N94" s="18" t="s">
        <v>222</v>
      </c>
      <c r="O94" s="34">
        <v>60</v>
      </c>
      <c r="P94" s="20" t="s">
        <v>225</v>
      </c>
      <c r="Q94" s="21" t="s">
        <v>226</v>
      </c>
      <c r="R94" s="156">
        <v>60</v>
      </c>
    </row>
    <row r="95" spans="2:18" x14ac:dyDescent="0.3">
      <c r="B95" s="171"/>
      <c r="C95" s="180"/>
      <c r="D95" s="38" t="s">
        <v>205</v>
      </c>
      <c r="E95" s="39" t="s">
        <v>206</v>
      </c>
      <c r="F95" s="24">
        <v>10</v>
      </c>
      <c r="G95" s="83"/>
      <c r="H95" s="39"/>
      <c r="I95" s="24"/>
      <c r="J95" s="83"/>
      <c r="K95" s="39"/>
      <c r="L95" s="24"/>
      <c r="M95" s="22"/>
      <c r="N95" s="23"/>
      <c r="O95" s="37"/>
      <c r="P95" s="22"/>
      <c r="Q95" s="23"/>
      <c r="R95" s="37"/>
    </row>
    <row r="96" spans="2:18" x14ac:dyDescent="0.3">
      <c r="B96" s="171"/>
      <c r="C96" s="180"/>
      <c r="D96" s="38"/>
      <c r="E96" s="39"/>
      <c r="F96" s="24"/>
      <c r="G96" s="88"/>
      <c r="H96" s="89"/>
      <c r="I96" s="90"/>
      <c r="J96" s="83"/>
      <c r="K96" s="39"/>
      <c r="L96" s="24"/>
      <c r="M96" s="22"/>
      <c r="N96" s="23"/>
      <c r="O96" s="37"/>
      <c r="P96" s="22"/>
      <c r="Q96" s="23"/>
      <c r="R96" s="37"/>
    </row>
    <row r="97" spans="2:18" x14ac:dyDescent="0.3">
      <c r="B97" s="171"/>
      <c r="C97" s="180"/>
      <c r="D97" s="38"/>
      <c r="E97" s="39"/>
      <c r="F97" s="24"/>
      <c r="G97" s="88"/>
      <c r="H97" s="89"/>
      <c r="I97" s="90"/>
      <c r="J97" s="83"/>
      <c r="K97" s="39"/>
      <c r="L97" s="24"/>
      <c r="M97" s="22"/>
      <c r="N97" s="23"/>
      <c r="O97" s="37"/>
      <c r="P97" s="22"/>
      <c r="Q97" s="23"/>
      <c r="R97" s="37"/>
    </row>
    <row r="98" spans="2:18" ht="15" thickBot="1" x14ac:dyDescent="0.35">
      <c r="B98" s="171"/>
      <c r="C98" s="181"/>
      <c r="D98" s="16"/>
      <c r="E98" s="11"/>
      <c r="F98" s="12"/>
      <c r="G98" s="84"/>
      <c r="H98" s="41"/>
      <c r="I98" s="12"/>
      <c r="J98" s="15"/>
      <c r="K98" s="11"/>
      <c r="L98" s="12"/>
      <c r="M98" s="29"/>
      <c r="N98" s="30"/>
      <c r="O98" s="31"/>
      <c r="P98" s="15"/>
      <c r="Q98" s="11"/>
      <c r="R98" s="12"/>
    </row>
    <row r="99" spans="2:18" x14ac:dyDescent="0.3">
      <c r="B99" s="171"/>
      <c r="C99" s="179">
        <v>2</v>
      </c>
      <c r="D99" s="9" t="s">
        <v>203</v>
      </c>
      <c r="E99" s="6" t="s">
        <v>204</v>
      </c>
      <c r="F99" s="7">
        <v>60</v>
      </c>
      <c r="G99" s="20" t="s">
        <v>209</v>
      </c>
      <c r="H99" s="21" t="s">
        <v>210</v>
      </c>
      <c r="I99" s="19">
        <f>25+60</f>
        <v>85</v>
      </c>
      <c r="J99" s="22" t="s">
        <v>211</v>
      </c>
      <c r="K99" s="23" t="s">
        <v>212</v>
      </c>
      <c r="L99" s="25">
        <v>92</v>
      </c>
      <c r="M99" s="17" t="s">
        <v>221</v>
      </c>
      <c r="N99" s="18" t="s">
        <v>222</v>
      </c>
      <c r="O99" s="34">
        <v>60</v>
      </c>
      <c r="P99" s="22" t="s">
        <v>225</v>
      </c>
      <c r="Q99" s="23" t="s">
        <v>226</v>
      </c>
      <c r="R99" s="7">
        <v>140</v>
      </c>
    </row>
    <row r="100" spans="2:18" x14ac:dyDescent="0.3">
      <c r="B100" s="171"/>
      <c r="C100" s="182"/>
      <c r="D100" s="38" t="s">
        <v>205</v>
      </c>
      <c r="E100" s="39" t="s">
        <v>206</v>
      </c>
      <c r="F100" s="24">
        <f>75+30</f>
        <v>105</v>
      </c>
      <c r="G100" s="22" t="s">
        <v>211</v>
      </c>
      <c r="H100" s="23" t="s">
        <v>212</v>
      </c>
      <c r="I100" s="25">
        <v>80</v>
      </c>
      <c r="J100" s="83" t="s">
        <v>219</v>
      </c>
      <c r="K100" s="39" t="s">
        <v>220</v>
      </c>
      <c r="L100" s="28">
        <v>34</v>
      </c>
      <c r="M100" s="22" t="s">
        <v>223</v>
      </c>
      <c r="N100" s="23" t="s">
        <v>224</v>
      </c>
      <c r="O100" s="24">
        <v>60</v>
      </c>
      <c r="P100" s="22" t="s">
        <v>227</v>
      </c>
      <c r="Q100" s="23" t="s">
        <v>228</v>
      </c>
      <c r="R100" s="37">
        <v>30</v>
      </c>
    </row>
    <row r="101" spans="2:18" x14ac:dyDescent="0.3">
      <c r="B101" s="171"/>
      <c r="C101" s="182"/>
      <c r="D101" s="23"/>
      <c r="E101" s="23"/>
      <c r="F101" s="24"/>
      <c r="G101" s="83" t="s">
        <v>219</v>
      </c>
      <c r="H101" s="39" t="s">
        <v>220</v>
      </c>
      <c r="I101" s="25">
        <v>10</v>
      </c>
      <c r="J101" s="13"/>
      <c r="K101" s="14"/>
      <c r="L101" s="36"/>
      <c r="M101" s="92"/>
      <c r="N101" s="91"/>
      <c r="O101" s="90"/>
      <c r="P101" s="106" t="s">
        <v>229</v>
      </c>
      <c r="Q101" s="14" t="s">
        <v>230</v>
      </c>
      <c r="R101" s="37">
        <v>15</v>
      </c>
    </row>
    <row r="102" spans="2:18" x14ac:dyDescent="0.3">
      <c r="B102" s="171"/>
      <c r="C102" s="182"/>
      <c r="D102" s="23"/>
      <c r="E102" s="23"/>
      <c r="F102" s="24"/>
      <c r="G102" s="22"/>
      <c r="H102" s="23"/>
      <c r="I102" s="25"/>
      <c r="J102" s="83"/>
      <c r="K102" s="39"/>
      <c r="L102" s="36"/>
      <c r="M102" s="92"/>
      <c r="N102" s="91"/>
      <c r="O102" s="90"/>
      <c r="P102" s="83" t="s">
        <v>231</v>
      </c>
      <c r="Q102" s="39" t="s">
        <v>232</v>
      </c>
      <c r="R102" s="37">
        <v>15</v>
      </c>
    </row>
    <row r="103" spans="2:18" x14ac:dyDescent="0.3">
      <c r="B103" s="171"/>
      <c r="C103" s="182"/>
      <c r="D103" s="91"/>
      <c r="E103" s="91"/>
      <c r="F103" s="90"/>
      <c r="G103" s="92"/>
      <c r="H103" s="91"/>
      <c r="I103" s="25"/>
      <c r="J103" s="88"/>
      <c r="K103" s="89"/>
      <c r="L103" s="36"/>
      <c r="M103" s="92"/>
      <c r="N103" s="91"/>
      <c r="O103" s="90"/>
      <c r="P103" s="88"/>
      <c r="Q103" s="89"/>
      <c r="R103" s="25"/>
    </row>
    <row r="104" spans="2:18" x14ac:dyDescent="0.3">
      <c r="B104" s="171"/>
      <c r="C104" s="182"/>
      <c r="D104" s="91"/>
      <c r="E104" s="91"/>
      <c r="F104" s="90"/>
      <c r="G104" s="92"/>
      <c r="H104" s="91"/>
      <c r="I104" s="25"/>
      <c r="J104" s="83"/>
      <c r="K104" s="39"/>
      <c r="L104" s="36"/>
      <c r="M104" s="92"/>
      <c r="N104" s="91"/>
      <c r="O104" s="90"/>
      <c r="P104" s="88"/>
      <c r="Q104" s="89"/>
      <c r="R104" s="25"/>
    </row>
    <row r="105" spans="2:18" x14ac:dyDescent="0.3">
      <c r="B105" s="171"/>
      <c r="C105" s="182"/>
      <c r="D105" s="91"/>
      <c r="E105" s="91"/>
      <c r="F105" s="90"/>
      <c r="G105" s="92"/>
      <c r="H105" s="91"/>
      <c r="I105" s="25"/>
      <c r="J105" s="88"/>
      <c r="K105" s="89"/>
      <c r="L105" s="36"/>
      <c r="M105" s="92"/>
      <c r="N105" s="91"/>
      <c r="O105" s="90"/>
      <c r="P105" s="88"/>
      <c r="Q105" s="89"/>
      <c r="R105" s="25"/>
    </row>
    <row r="106" spans="2:18" ht="15" thickBot="1" x14ac:dyDescent="0.35">
      <c r="B106" s="171"/>
      <c r="C106" s="181"/>
      <c r="D106" s="40"/>
      <c r="E106" s="41"/>
      <c r="F106" s="42"/>
      <c r="G106" s="29"/>
      <c r="H106" s="30"/>
      <c r="I106" s="31"/>
      <c r="J106" s="83"/>
      <c r="K106" s="39"/>
      <c r="L106" s="31"/>
      <c r="M106" s="87"/>
      <c r="N106" s="41"/>
      <c r="O106" s="42"/>
      <c r="P106" s="29"/>
      <c r="Q106" s="30"/>
      <c r="R106" s="31"/>
    </row>
    <row r="107" spans="2:18" x14ac:dyDescent="0.3">
      <c r="B107" s="171"/>
      <c r="C107" s="179">
        <v>3</v>
      </c>
      <c r="D107" s="9" t="s">
        <v>203</v>
      </c>
      <c r="E107" s="6" t="s">
        <v>204</v>
      </c>
      <c r="F107" s="7">
        <v>17</v>
      </c>
      <c r="G107" s="17" t="s">
        <v>213</v>
      </c>
      <c r="H107" s="18" t="s">
        <v>214</v>
      </c>
      <c r="I107" s="19">
        <v>50</v>
      </c>
      <c r="J107" s="8" t="s">
        <v>217</v>
      </c>
      <c r="K107" s="6" t="s">
        <v>218</v>
      </c>
      <c r="L107" s="7">
        <v>120</v>
      </c>
      <c r="M107" s="22" t="s">
        <v>223</v>
      </c>
      <c r="N107" s="23" t="s">
        <v>224</v>
      </c>
      <c r="O107" s="24">
        <v>80</v>
      </c>
      <c r="P107" s="8" t="s">
        <v>231</v>
      </c>
      <c r="Q107" s="6" t="s">
        <v>232</v>
      </c>
      <c r="R107" s="7">
        <v>75</v>
      </c>
    </row>
    <row r="108" spans="2:18" x14ac:dyDescent="0.3">
      <c r="B108" s="171"/>
      <c r="C108" s="183"/>
      <c r="D108" s="38" t="s">
        <v>207</v>
      </c>
      <c r="E108" s="39" t="s">
        <v>208</v>
      </c>
      <c r="F108" s="36">
        <f>63+50</f>
        <v>113</v>
      </c>
      <c r="G108" s="23" t="s">
        <v>215</v>
      </c>
      <c r="H108" s="23" t="s">
        <v>216</v>
      </c>
      <c r="I108" s="37">
        <v>30</v>
      </c>
      <c r="J108" s="83"/>
      <c r="K108" s="39"/>
      <c r="L108" s="37"/>
      <c r="M108" s="22" t="s">
        <v>225</v>
      </c>
      <c r="N108" s="23" t="s">
        <v>226</v>
      </c>
      <c r="O108" s="28">
        <v>50</v>
      </c>
      <c r="P108" s="22" t="s">
        <v>233</v>
      </c>
      <c r="Q108" s="23" t="s">
        <v>234</v>
      </c>
      <c r="R108" s="37">
        <v>48</v>
      </c>
    </row>
    <row r="109" spans="2:18" x14ac:dyDescent="0.3">
      <c r="B109" s="171"/>
      <c r="C109" s="183"/>
      <c r="D109" s="38" t="s">
        <v>205</v>
      </c>
      <c r="E109" s="39" t="s">
        <v>206</v>
      </c>
      <c r="F109" s="24">
        <v>10</v>
      </c>
      <c r="G109" s="83" t="s">
        <v>219</v>
      </c>
      <c r="H109" s="39" t="s">
        <v>220</v>
      </c>
      <c r="I109" s="25">
        <v>30</v>
      </c>
      <c r="J109" s="107"/>
      <c r="K109" s="108"/>
      <c r="L109" s="37"/>
      <c r="M109" s="22"/>
      <c r="N109" s="23"/>
      <c r="O109" s="28"/>
      <c r="P109" s="109" t="s">
        <v>235</v>
      </c>
      <c r="Q109" s="27" t="s">
        <v>236</v>
      </c>
      <c r="R109" s="37">
        <v>70</v>
      </c>
    </row>
    <row r="110" spans="2:18" x14ac:dyDescent="0.3">
      <c r="B110" s="171"/>
      <c r="C110" s="183"/>
      <c r="D110" s="35"/>
      <c r="E110" s="14"/>
      <c r="F110" s="36"/>
      <c r="G110" s="35"/>
      <c r="H110" s="14"/>
      <c r="I110" s="37"/>
      <c r="J110" s="26"/>
      <c r="K110" s="27"/>
      <c r="L110" s="37"/>
      <c r="M110" s="22"/>
      <c r="N110" s="23"/>
      <c r="O110" s="28"/>
      <c r="P110" s="109"/>
      <c r="Q110" s="27"/>
      <c r="R110" s="37"/>
    </row>
    <row r="111" spans="2:18" x14ac:dyDescent="0.3">
      <c r="B111" s="171"/>
      <c r="C111" s="183"/>
      <c r="D111" s="35"/>
      <c r="E111" s="14"/>
      <c r="F111" s="36"/>
      <c r="G111" s="35"/>
      <c r="H111" s="14"/>
      <c r="I111" s="37"/>
      <c r="J111" s="26"/>
      <c r="K111" s="27"/>
      <c r="L111" s="37"/>
      <c r="M111" s="22"/>
      <c r="N111" s="23"/>
      <c r="O111" s="28"/>
      <c r="P111" s="109"/>
      <c r="Q111" s="27"/>
      <c r="R111" s="37"/>
    </row>
    <row r="112" spans="2:18" x14ac:dyDescent="0.3">
      <c r="B112" s="171"/>
      <c r="C112" s="183"/>
      <c r="D112" s="38"/>
      <c r="E112" s="39"/>
      <c r="F112" s="24"/>
      <c r="G112" s="38"/>
      <c r="H112" s="39"/>
      <c r="I112" s="37"/>
      <c r="J112" s="26"/>
      <c r="K112" s="27"/>
      <c r="L112" s="37"/>
      <c r="M112" s="22"/>
      <c r="N112" s="23"/>
      <c r="O112" s="37"/>
      <c r="P112" s="22"/>
      <c r="Q112" s="23"/>
      <c r="R112" s="37"/>
    </row>
    <row r="113" spans="2:21" ht="15" thickBot="1" x14ac:dyDescent="0.35">
      <c r="B113" s="172"/>
      <c r="C113" s="184"/>
      <c r="D113" s="29"/>
      <c r="E113" s="30"/>
      <c r="F113" s="12"/>
      <c r="G113" s="87"/>
      <c r="H113" s="41"/>
      <c r="I113" s="31"/>
      <c r="J113" s="29"/>
      <c r="K113" s="30"/>
      <c r="L113" s="31"/>
      <c r="M113" s="29"/>
      <c r="N113" s="30"/>
      <c r="O113" s="31"/>
      <c r="P113" s="29"/>
      <c r="Q113" s="30"/>
      <c r="R113" s="31"/>
    </row>
    <row r="115" spans="2:21" ht="15" thickBot="1" x14ac:dyDescent="0.35"/>
    <row r="116" spans="2:21" x14ac:dyDescent="0.3">
      <c r="B116" s="170" t="s">
        <v>237</v>
      </c>
      <c r="C116" s="173"/>
      <c r="D116" s="175" t="s">
        <v>1</v>
      </c>
      <c r="E116" s="162"/>
      <c r="F116" s="163"/>
      <c r="G116" s="176" t="s">
        <v>2</v>
      </c>
      <c r="H116" s="177"/>
      <c r="I116" s="178"/>
      <c r="J116" s="161" t="s">
        <v>3</v>
      </c>
      <c r="K116" s="162"/>
      <c r="L116" s="163"/>
      <c r="M116" s="161" t="s">
        <v>4</v>
      </c>
      <c r="N116" s="162" t="s">
        <v>6</v>
      </c>
      <c r="O116" s="163"/>
      <c r="P116" s="161" t="s">
        <v>5</v>
      </c>
      <c r="Q116" s="162"/>
      <c r="R116" s="163" t="s">
        <v>6</v>
      </c>
      <c r="S116" s="161" t="s">
        <v>238</v>
      </c>
      <c r="T116" s="162"/>
      <c r="U116" s="163" t="s">
        <v>6</v>
      </c>
    </row>
    <row r="117" spans="2:21" ht="15" thickBot="1" x14ac:dyDescent="0.35">
      <c r="B117" s="171"/>
      <c r="C117" s="174"/>
      <c r="D117" s="1" t="s">
        <v>7</v>
      </c>
      <c r="E117" s="1" t="s">
        <v>8</v>
      </c>
      <c r="F117" s="2" t="s">
        <v>6</v>
      </c>
      <c r="G117" s="3" t="s">
        <v>7</v>
      </c>
      <c r="H117" s="1" t="s">
        <v>8</v>
      </c>
      <c r="I117" s="2" t="s">
        <v>6</v>
      </c>
      <c r="J117" s="3" t="s">
        <v>7</v>
      </c>
      <c r="K117" s="1" t="s">
        <v>8</v>
      </c>
      <c r="L117" s="2" t="s">
        <v>6</v>
      </c>
      <c r="M117" s="3" t="s">
        <v>7</v>
      </c>
      <c r="N117" s="1" t="s">
        <v>8</v>
      </c>
      <c r="O117" s="2" t="s">
        <v>6</v>
      </c>
      <c r="P117" s="157" t="s">
        <v>7</v>
      </c>
      <c r="Q117" s="158" t="s">
        <v>8</v>
      </c>
      <c r="R117" s="159" t="s">
        <v>6</v>
      </c>
      <c r="S117" s="157" t="s">
        <v>7</v>
      </c>
      <c r="T117" s="158" t="s">
        <v>8</v>
      </c>
      <c r="U117" s="159" t="s">
        <v>6</v>
      </c>
    </row>
    <row r="118" spans="2:21" x14ac:dyDescent="0.3">
      <c r="B118" s="171"/>
      <c r="C118" s="164"/>
      <c r="D118" s="110"/>
      <c r="E118" s="111"/>
      <c r="F118" s="112"/>
      <c r="G118" s="113"/>
      <c r="H118" s="111"/>
      <c r="I118" s="112"/>
      <c r="J118" s="113"/>
      <c r="K118" s="111"/>
      <c r="L118" s="112"/>
      <c r="M118" s="114"/>
      <c r="N118" s="115"/>
      <c r="O118" s="116"/>
      <c r="P118" s="137"/>
      <c r="Q118" s="138"/>
      <c r="R118" s="160"/>
      <c r="S118" s="26" t="s">
        <v>227</v>
      </c>
      <c r="T118" s="27" t="s">
        <v>228</v>
      </c>
      <c r="U118" s="156">
        <v>40</v>
      </c>
    </row>
    <row r="119" spans="2:21" x14ac:dyDescent="0.3">
      <c r="B119" s="171"/>
      <c r="C119" s="165"/>
      <c r="D119" s="120"/>
      <c r="E119" s="121"/>
      <c r="F119" s="122"/>
      <c r="G119" s="123"/>
      <c r="H119" s="121"/>
      <c r="I119" s="122"/>
      <c r="J119" s="123"/>
      <c r="K119" s="121"/>
      <c r="L119" s="122"/>
      <c r="M119" s="117"/>
      <c r="N119" s="118"/>
      <c r="O119" s="124"/>
      <c r="P119" s="117"/>
      <c r="Q119" s="118"/>
      <c r="R119" s="124"/>
      <c r="S119" s="22"/>
      <c r="T119" s="23"/>
      <c r="U119" s="37"/>
    </row>
    <row r="120" spans="2:21" x14ac:dyDescent="0.3">
      <c r="B120" s="171"/>
      <c r="C120" s="165"/>
      <c r="D120" s="120"/>
      <c r="E120" s="121"/>
      <c r="F120" s="122"/>
      <c r="G120" s="125"/>
      <c r="H120" s="126"/>
      <c r="I120" s="127"/>
      <c r="J120" s="123"/>
      <c r="K120" s="121"/>
      <c r="L120" s="122"/>
      <c r="M120" s="117"/>
      <c r="N120" s="118"/>
      <c r="O120" s="124"/>
      <c r="P120" s="117"/>
      <c r="Q120" s="118"/>
      <c r="R120" s="124"/>
      <c r="S120" s="22"/>
      <c r="T120" s="23"/>
      <c r="U120" s="37"/>
    </row>
    <row r="121" spans="2:21" x14ac:dyDescent="0.3">
      <c r="B121" s="171"/>
      <c r="C121" s="165"/>
      <c r="D121" s="120"/>
      <c r="E121" s="121"/>
      <c r="F121" s="122"/>
      <c r="G121" s="125"/>
      <c r="H121" s="126"/>
      <c r="I121" s="127"/>
      <c r="J121" s="123"/>
      <c r="K121" s="121"/>
      <c r="L121" s="122"/>
      <c r="M121" s="117"/>
      <c r="N121" s="118"/>
      <c r="O121" s="124"/>
      <c r="P121" s="117"/>
      <c r="Q121" s="118"/>
      <c r="R121" s="124"/>
      <c r="S121" s="22"/>
      <c r="T121" s="23"/>
      <c r="U121" s="37"/>
    </row>
    <row r="122" spans="2:21" ht="15" thickBot="1" x14ac:dyDescent="0.35">
      <c r="B122" s="171"/>
      <c r="C122" s="166"/>
      <c r="D122" s="128"/>
      <c r="E122" s="129"/>
      <c r="F122" s="130"/>
      <c r="G122" s="131"/>
      <c r="H122" s="132"/>
      <c r="I122" s="130"/>
      <c r="J122" s="133"/>
      <c r="K122" s="129"/>
      <c r="L122" s="130"/>
      <c r="M122" s="134"/>
      <c r="N122" s="135"/>
      <c r="O122" s="136"/>
      <c r="P122" s="133"/>
      <c r="Q122" s="129"/>
      <c r="R122" s="130"/>
      <c r="S122" s="15"/>
      <c r="T122" s="11"/>
      <c r="U122" s="12"/>
    </row>
    <row r="123" spans="2:21" x14ac:dyDescent="0.3">
      <c r="B123" s="171"/>
      <c r="C123" s="164"/>
      <c r="D123" s="110"/>
      <c r="E123" s="111"/>
      <c r="F123" s="112"/>
      <c r="G123" s="137"/>
      <c r="H123" s="138"/>
      <c r="I123" s="139"/>
      <c r="J123" s="117"/>
      <c r="K123" s="118"/>
      <c r="L123" s="140"/>
      <c r="M123" s="114"/>
      <c r="N123" s="115"/>
      <c r="O123" s="116"/>
      <c r="P123" s="117"/>
      <c r="Q123" s="118"/>
      <c r="R123" s="112"/>
      <c r="S123" s="26" t="s">
        <v>227</v>
      </c>
      <c r="T123" s="27" t="s">
        <v>228</v>
      </c>
      <c r="U123" s="7">
        <f>60-15</f>
        <v>45</v>
      </c>
    </row>
    <row r="124" spans="2:21" x14ac:dyDescent="0.3">
      <c r="B124" s="171"/>
      <c r="C124" s="167"/>
      <c r="D124" s="120"/>
      <c r="E124" s="121"/>
      <c r="F124" s="122"/>
      <c r="G124" s="117"/>
      <c r="H124" s="118"/>
      <c r="I124" s="140"/>
      <c r="J124" s="123"/>
      <c r="K124" s="121"/>
      <c r="L124" s="119"/>
      <c r="M124" s="117"/>
      <c r="N124" s="118"/>
      <c r="O124" s="122"/>
      <c r="P124" s="117"/>
      <c r="Q124" s="118"/>
      <c r="R124" s="124"/>
      <c r="S124" s="22" t="s">
        <v>229</v>
      </c>
      <c r="T124" s="23" t="s">
        <v>230</v>
      </c>
      <c r="U124" s="37">
        <f>55-15</f>
        <v>40</v>
      </c>
    </row>
    <row r="125" spans="2:21" x14ac:dyDescent="0.3">
      <c r="B125" s="171"/>
      <c r="C125" s="167"/>
      <c r="D125" s="118"/>
      <c r="E125" s="118"/>
      <c r="F125" s="122"/>
      <c r="G125" s="123"/>
      <c r="H125" s="121"/>
      <c r="I125" s="140"/>
      <c r="J125" s="141"/>
      <c r="K125" s="142"/>
      <c r="L125" s="143"/>
      <c r="M125" s="144"/>
      <c r="N125" s="145"/>
      <c r="O125" s="127"/>
      <c r="P125" s="146"/>
      <c r="Q125" s="142"/>
      <c r="R125" s="124"/>
      <c r="S125" s="26" t="s">
        <v>233</v>
      </c>
      <c r="T125" s="27" t="s">
        <v>234</v>
      </c>
      <c r="U125" s="37">
        <v>5</v>
      </c>
    </row>
    <row r="126" spans="2:21" x14ac:dyDescent="0.3">
      <c r="B126" s="171"/>
      <c r="C126" s="167"/>
      <c r="D126" s="118"/>
      <c r="E126" s="118"/>
      <c r="F126" s="122"/>
      <c r="G126" s="117"/>
      <c r="H126" s="118"/>
      <c r="I126" s="140"/>
      <c r="J126" s="123"/>
      <c r="K126" s="121"/>
      <c r="L126" s="143"/>
      <c r="M126" s="144"/>
      <c r="N126" s="145"/>
      <c r="O126" s="127"/>
      <c r="P126" s="123"/>
      <c r="Q126" s="121"/>
      <c r="R126" s="124"/>
      <c r="S126" s="83"/>
      <c r="T126" s="39"/>
      <c r="U126" s="37"/>
    </row>
    <row r="127" spans="2:21" x14ac:dyDescent="0.3">
      <c r="B127" s="171"/>
      <c r="C127" s="167"/>
      <c r="D127" s="145"/>
      <c r="E127" s="145"/>
      <c r="F127" s="127"/>
      <c r="G127" s="144"/>
      <c r="H127" s="145"/>
      <c r="I127" s="140"/>
      <c r="J127" s="125"/>
      <c r="K127" s="126"/>
      <c r="L127" s="143"/>
      <c r="M127" s="144"/>
      <c r="N127" s="145"/>
      <c r="O127" s="127"/>
      <c r="P127" s="125"/>
      <c r="Q127" s="126"/>
      <c r="R127" s="140"/>
      <c r="S127" s="88"/>
      <c r="T127" s="89"/>
      <c r="U127" s="25"/>
    </row>
    <row r="128" spans="2:21" x14ac:dyDescent="0.3">
      <c r="B128" s="171"/>
      <c r="C128" s="167"/>
      <c r="D128" s="145"/>
      <c r="E128" s="145"/>
      <c r="F128" s="127"/>
      <c r="G128" s="144"/>
      <c r="H128" s="145"/>
      <c r="I128" s="140"/>
      <c r="J128" s="123"/>
      <c r="K128" s="121"/>
      <c r="L128" s="143"/>
      <c r="M128" s="144"/>
      <c r="N128" s="145"/>
      <c r="O128" s="127"/>
      <c r="P128" s="125"/>
      <c r="Q128" s="126"/>
      <c r="R128" s="140"/>
      <c r="S128" s="88"/>
      <c r="T128" s="89"/>
      <c r="U128" s="25"/>
    </row>
    <row r="129" spans="2:21" x14ac:dyDescent="0.3">
      <c r="B129" s="171"/>
      <c r="C129" s="167"/>
      <c r="D129" s="145"/>
      <c r="E129" s="145"/>
      <c r="F129" s="127"/>
      <c r="G129" s="144"/>
      <c r="H129" s="145"/>
      <c r="I129" s="140"/>
      <c r="J129" s="125"/>
      <c r="K129" s="126"/>
      <c r="L129" s="143"/>
      <c r="M129" s="144"/>
      <c r="N129" s="145"/>
      <c r="O129" s="127"/>
      <c r="P129" s="125"/>
      <c r="Q129" s="126"/>
      <c r="R129" s="140"/>
      <c r="S129" s="88"/>
      <c r="T129" s="89"/>
      <c r="U129" s="25"/>
    </row>
    <row r="130" spans="2:21" ht="15" thickBot="1" x14ac:dyDescent="0.35">
      <c r="B130" s="171"/>
      <c r="C130" s="166"/>
      <c r="D130" s="147"/>
      <c r="E130" s="132"/>
      <c r="F130" s="148"/>
      <c r="G130" s="134"/>
      <c r="H130" s="135"/>
      <c r="I130" s="136"/>
      <c r="J130" s="123"/>
      <c r="K130" s="121"/>
      <c r="L130" s="136"/>
      <c r="M130" s="149"/>
      <c r="N130" s="132"/>
      <c r="O130" s="148"/>
      <c r="P130" s="134"/>
      <c r="Q130" s="135"/>
      <c r="R130" s="136"/>
      <c r="S130" s="29"/>
      <c r="T130" s="30"/>
      <c r="U130" s="31"/>
    </row>
    <row r="131" spans="2:21" x14ac:dyDescent="0.3">
      <c r="B131" s="171"/>
      <c r="C131" s="164"/>
      <c r="D131" s="110"/>
      <c r="E131" s="111"/>
      <c r="F131" s="112"/>
      <c r="G131" s="114"/>
      <c r="H131" s="115"/>
      <c r="I131" s="139"/>
      <c r="J131" s="113"/>
      <c r="K131" s="111"/>
      <c r="L131" s="112"/>
      <c r="M131" s="117"/>
      <c r="N131" s="118"/>
      <c r="O131" s="122"/>
      <c r="P131" s="113"/>
      <c r="Q131" s="111"/>
      <c r="R131" s="112"/>
      <c r="S131" s="26" t="s">
        <v>233</v>
      </c>
      <c r="T131" s="27" t="s">
        <v>234</v>
      </c>
      <c r="U131" s="7">
        <v>45</v>
      </c>
    </row>
    <row r="132" spans="2:21" x14ac:dyDescent="0.3">
      <c r="B132" s="171"/>
      <c r="C132" s="168"/>
      <c r="D132" s="120"/>
      <c r="E132" s="121"/>
      <c r="F132" s="143"/>
      <c r="G132" s="118"/>
      <c r="H132" s="118"/>
      <c r="I132" s="124"/>
      <c r="J132" s="123"/>
      <c r="K132" s="121"/>
      <c r="L132" s="124"/>
      <c r="M132" s="117"/>
      <c r="N132" s="118"/>
      <c r="O132" s="119"/>
      <c r="P132" s="117"/>
      <c r="Q132" s="118"/>
      <c r="R132" s="124"/>
      <c r="S132" s="22" t="s">
        <v>239</v>
      </c>
      <c r="T132" s="23" t="s">
        <v>240</v>
      </c>
      <c r="U132" s="37">
        <v>10</v>
      </c>
    </row>
    <row r="133" spans="2:21" x14ac:dyDescent="0.3">
      <c r="B133" s="171"/>
      <c r="C133" s="168"/>
      <c r="D133" s="120"/>
      <c r="E133" s="121"/>
      <c r="F133" s="122"/>
      <c r="G133" s="123"/>
      <c r="H133" s="121"/>
      <c r="I133" s="140"/>
      <c r="J133" s="150"/>
      <c r="K133" s="151"/>
      <c r="L133" s="124"/>
      <c r="M133" s="117"/>
      <c r="N133" s="118"/>
      <c r="O133" s="119"/>
      <c r="P133" s="152"/>
      <c r="Q133" s="153"/>
      <c r="R133" s="124"/>
      <c r="S133" s="22" t="s">
        <v>229</v>
      </c>
      <c r="T133" s="23" t="s">
        <v>230</v>
      </c>
      <c r="U133" s="37">
        <v>45</v>
      </c>
    </row>
    <row r="134" spans="2:21" x14ac:dyDescent="0.3">
      <c r="B134" s="171"/>
      <c r="C134" s="168"/>
      <c r="D134" s="154"/>
      <c r="E134" s="142"/>
      <c r="F134" s="143"/>
      <c r="G134" s="154"/>
      <c r="H134" s="142"/>
      <c r="I134" s="124"/>
      <c r="J134" s="155"/>
      <c r="K134" s="153"/>
      <c r="L134" s="124"/>
      <c r="M134" s="117"/>
      <c r="N134" s="118"/>
      <c r="O134" s="119"/>
      <c r="P134" s="152"/>
      <c r="Q134" s="153"/>
      <c r="R134" s="124"/>
      <c r="S134" s="109"/>
      <c r="T134" s="27"/>
      <c r="U134" s="37"/>
    </row>
    <row r="135" spans="2:21" x14ac:dyDescent="0.3">
      <c r="B135" s="171"/>
      <c r="C135" s="168"/>
      <c r="D135" s="154"/>
      <c r="E135" s="142"/>
      <c r="F135" s="143"/>
      <c r="G135" s="154"/>
      <c r="H135" s="142"/>
      <c r="I135" s="124"/>
      <c r="J135" s="155"/>
      <c r="K135" s="153"/>
      <c r="L135" s="124"/>
      <c r="M135" s="117"/>
      <c r="N135" s="118"/>
      <c r="O135" s="119"/>
      <c r="P135" s="152"/>
      <c r="Q135" s="153"/>
      <c r="R135" s="124"/>
      <c r="S135" s="109"/>
      <c r="T135" s="27"/>
      <c r="U135" s="37"/>
    </row>
    <row r="136" spans="2:21" x14ac:dyDescent="0.3">
      <c r="B136" s="171"/>
      <c r="C136" s="168"/>
      <c r="D136" s="120"/>
      <c r="E136" s="121"/>
      <c r="F136" s="122"/>
      <c r="G136" s="120"/>
      <c r="H136" s="121"/>
      <c r="I136" s="124"/>
      <c r="J136" s="155"/>
      <c r="K136" s="153"/>
      <c r="L136" s="124"/>
      <c r="M136" s="117"/>
      <c r="N136" s="118"/>
      <c r="O136" s="124"/>
      <c r="P136" s="117"/>
      <c r="Q136" s="118"/>
      <c r="R136" s="124"/>
      <c r="S136" s="22"/>
      <c r="T136" s="23"/>
      <c r="U136" s="37"/>
    </row>
    <row r="137" spans="2:21" ht="15" thickBot="1" x14ac:dyDescent="0.35">
      <c r="B137" s="172"/>
      <c r="C137" s="169"/>
      <c r="D137" s="134"/>
      <c r="E137" s="135"/>
      <c r="F137" s="130"/>
      <c r="G137" s="149"/>
      <c r="H137" s="132"/>
      <c r="I137" s="136"/>
      <c r="J137" s="134"/>
      <c r="K137" s="135"/>
      <c r="L137" s="136"/>
      <c r="M137" s="134"/>
      <c r="N137" s="135"/>
      <c r="O137" s="136"/>
      <c r="P137" s="134"/>
      <c r="Q137" s="135"/>
      <c r="R137" s="136"/>
      <c r="S137" s="29"/>
      <c r="T137" s="30"/>
      <c r="U137" s="31"/>
    </row>
  </sheetData>
  <mergeCells count="59">
    <mergeCell ref="P92:R92"/>
    <mergeCell ref="C94:C98"/>
    <mergeCell ref="C99:C106"/>
    <mergeCell ref="C107:C113"/>
    <mergeCell ref="M92:O92"/>
    <mergeCell ref="B92:B113"/>
    <mergeCell ref="C92:C93"/>
    <mergeCell ref="D92:F92"/>
    <mergeCell ref="G92:I92"/>
    <mergeCell ref="J92:L92"/>
    <mergeCell ref="P6:R6"/>
    <mergeCell ref="C6:C7"/>
    <mergeCell ref="C8:C9"/>
    <mergeCell ref="B6:B19"/>
    <mergeCell ref="D6:F6"/>
    <mergeCell ref="G6:I6"/>
    <mergeCell ref="J6:L6"/>
    <mergeCell ref="M6:O6"/>
    <mergeCell ref="C10:C14"/>
    <mergeCell ref="C15:C19"/>
    <mergeCell ref="M22:O22"/>
    <mergeCell ref="C24:C25"/>
    <mergeCell ref="C26:C30"/>
    <mergeCell ref="C31:C35"/>
    <mergeCell ref="B22:B35"/>
    <mergeCell ref="C22:C23"/>
    <mergeCell ref="D22:F22"/>
    <mergeCell ref="G22:I22"/>
    <mergeCell ref="J22:L22"/>
    <mergeCell ref="B38:B59"/>
    <mergeCell ref="C38:C39"/>
    <mergeCell ref="D38:F38"/>
    <mergeCell ref="G38:I38"/>
    <mergeCell ref="J38:L38"/>
    <mergeCell ref="M38:O38"/>
    <mergeCell ref="P38:R38"/>
    <mergeCell ref="C40:C44"/>
    <mergeCell ref="C45:C52"/>
    <mergeCell ref="C53:C59"/>
    <mergeCell ref="M62:O62"/>
    <mergeCell ref="C64:C71"/>
    <mergeCell ref="C72:C80"/>
    <mergeCell ref="C81:C89"/>
    <mergeCell ref="B62:B89"/>
    <mergeCell ref="C62:C63"/>
    <mergeCell ref="D62:F62"/>
    <mergeCell ref="G62:I62"/>
    <mergeCell ref="J62:L62"/>
    <mergeCell ref="C131:C137"/>
    <mergeCell ref="B116:B137"/>
    <mergeCell ref="C116:C117"/>
    <mergeCell ref="D116:F116"/>
    <mergeCell ref="G116:I116"/>
    <mergeCell ref="S116:U116"/>
    <mergeCell ref="M116:O116"/>
    <mergeCell ref="P116:R116"/>
    <mergeCell ref="C118:C122"/>
    <mergeCell ref="C123:C130"/>
    <mergeCell ref="J116:L116"/>
  </mergeCells>
  <pageMargins left="0.70866141732283472" right="0.70866141732283472" top="0.74803149606299213" bottom="0.74803149606299213" header="0.31496062992125984" footer="0.31496062992125984"/>
  <pageSetup paperSize="9" scale="50" orientation="landscape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AFA572A522E35C49BDB8E6355C8F2B3F" ma:contentTypeVersion="4" ma:contentTypeDescription="Yeni belge oluşturun." ma:contentTypeScope="" ma:versionID="7bf3fd2347117b2d912b33e69e1ca49b">
  <xsd:schema xmlns:xsd="http://www.w3.org/2001/XMLSchema" xmlns:xs="http://www.w3.org/2001/XMLSchema" xmlns:p="http://schemas.microsoft.com/office/2006/metadata/properties" xmlns:ns3="4706f1bf-98a0-43e1-8aba-a2290b9379ec" targetNamespace="http://schemas.microsoft.com/office/2006/metadata/properties" ma:root="true" ma:fieldsID="79c6e7dda611c19af60567ba8ef6800c" ns3:_="">
    <xsd:import namespace="4706f1bf-98a0-43e1-8aba-a2290b9379e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6f1bf-98a0-43e1-8aba-a2290b9379e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AD6435-A3CE-4C0B-9472-F96AAD10B253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4706f1bf-98a0-43e1-8aba-a2290b9379ec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B4127F8-195F-4BBA-88C9-A0F4984DA8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06f1bf-98a0-43e1-8aba-a2290b9379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5E0292-03E9-4E7A-B127-5F754DEE63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ZEMİN KAT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Kerem.Karabas</dc:creator>
  <cp:lastModifiedBy>Kerem.Karabas</cp:lastModifiedBy>
  <cp:lastPrinted>2026-01-05T14:35:39Z</cp:lastPrinted>
  <dcterms:created xsi:type="dcterms:W3CDTF">2025-12-30T06:47:33Z</dcterms:created>
  <dcterms:modified xsi:type="dcterms:W3CDTF">2026-02-05T13:31:51Z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0x010100AFA572A522E35C49BDB8E6355C8F2B3F</vt:lpwstr>
  </property>
</Properties>
</file>